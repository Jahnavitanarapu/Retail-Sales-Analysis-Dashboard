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b877415ac2109b4e/Desktop/data analytics/"/>
    </mc:Choice>
  </mc:AlternateContent>
  <xr:revisionPtr revIDLastSave="645" documentId="14_{198B1A2F-8C5C-4F04-AB8B-D4892909A8BA}" xr6:coauthVersionLast="47" xr6:coauthVersionMax="47" xr10:uidLastSave="{68757A5A-FBC3-41B7-80CC-50334F7A7D20}"/>
  <bookViews>
    <workbookView xWindow="-108" yWindow="-108" windowWidth="23256" windowHeight="12456" activeTab="2" xr2:uid="{A6CB8F8F-16E3-444A-B997-6EB4F76414FA}"/>
  </bookViews>
  <sheets>
    <sheet name="Monthly sales trend" sheetId="4" r:id="rId1"/>
    <sheet name="Sales By Region" sheetId="5" r:id="rId2"/>
    <sheet name="Dashboard" sheetId="16" r:id="rId3"/>
    <sheet name="Sales by Category" sheetId="6" r:id="rId4"/>
    <sheet name="Profit by product" sheetId="7" r:id="rId5"/>
    <sheet name="KPI_Data" sheetId="18" r:id="rId6"/>
    <sheet name="SalesData" sheetId="1" r:id="rId7"/>
  </sheets>
  <definedNames>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7" i="16" l="1"/>
  <c r="T15" i="16"/>
  <c r="T14" i="16"/>
  <c r="T13" i="16"/>
</calcChain>
</file>

<file path=xl/sharedStrings.xml><?xml version="1.0" encoding="utf-8"?>
<sst xmlns="http://schemas.openxmlformats.org/spreadsheetml/2006/main" count="6031" uniqueCount="1059">
  <si>
    <t>Order_ID</t>
  </si>
  <si>
    <t>Order_Date</t>
  </si>
  <si>
    <t>Region</t>
  </si>
  <si>
    <t>Category</t>
  </si>
  <si>
    <t>Product</t>
  </si>
  <si>
    <t>Quantity</t>
  </si>
  <si>
    <t>Unit_Price</t>
  </si>
  <si>
    <t>Sales</t>
  </si>
  <si>
    <t>Discount</t>
  </si>
  <si>
    <t>Profit</t>
  </si>
  <si>
    <t>Sales_Channel</t>
  </si>
  <si>
    <t>Customer_Segment</t>
  </si>
  <si>
    <t>ORD-00001</t>
  </si>
  <si>
    <t>Central</t>
  </si>
  <si>
    <t>Technology</t>
  </si>
  <si>
    <t>Keyboard</t>
  </si>
  <si>
    <t>Wholesale</t>
  </si>
  <si>
    <t>Corporate</t>
  </si>
  <si>
    <t>ORD-00002</t>
  </si>
  <si>
    <t>East</t>
  </si>
  <si>
    <t>Home &amp; Kitchen</t>
  </si>
  <si>
    <t>Storage Box</t>
  </si>
  <si>
    <t>Online</t>
  </si>
  <si>
    <t>Small Business</t>
  </si>
  <si>
    <t>ORD-00003</t>
  </si>
  <si>
    <t>Webcam</t>
  </si>
  <si>
    <t>Retail Store</t>
  </si>
  <si>
    <t>ORD-00004</t>
  </si>
  <si>
    <t>South</t>
  </si>
  <si>
    <t>ORD-00005</t>
  </si>
  <si>
    <t>Office Supplies</t>
  </si>
  <si>
    <t>Notebook</t>
  </si>
  <si>
    <t>Consumer</t>
  </si>
  <si>
    <t>ORD-00006</t>
  </si>
  <si>
    <t>ORD-00007</t>
  </si>
  <si>
    <t>West</t>
  </si>
  <si>
    <t>Furniture</t>
  </si>
  <si>
    <t>Desk Lamp</t>
  </si>
  <si>
    <t>ORD-00008</t>
  </si>
  <si>
    <t>Cookware Set</t>
  </si>
  <si>
    <t>ORD-00009</t>
  </si>
  <si>
    <t>File Organizer</t>
  </si>
  <si>
    <t>ORD-00010</t>
  </si>
  <si>
    <t>Laptop</t>
  </si>
  <si>
    <t>ORD-00011</t>
  </si>
  <si>
    <t>Stapler</t>
  </si>
  <si>
    <t>ORD-00012</t>
  </si>
  <si>
    <t>Printer Paper</t>
  </si>
  <si>
    <t>ORD-00013</t>
  </si>
  <si>
    <t>ORD-00014</t>
  </si>
  <si>
    <t>ORD-00015</t>
  </si>
  <si>
    <t>Headphones</t>
  </si>
  <si>
    <t>ORD-00016</t>
  </si>
  <si>
    <t>ORD-00017</t>
  </si>
  <si>
    <t>Bookshelf</t>
  </si>
  <si>
    <t>ORD-00018</t>
  </si>
  <si>
    <t>North</t>
  </si>
  <si>
    <t>ORD-00019</t>
  </si>
  <si>
    <t>ORD-00020</t>
  </si>
  <si>
    <t>ORD-00021</t>
  </si>
  <si>
    <t>ORD-00022</t>
  </si>
  <si>
    <t>ORD-00023</t>
  </si>
  <si>
    <t>ORD-00024</t>
  </si>
  <si>
    <t>ORD-00025</t>
  </si>
  <si>
    <t>ORD-00026</t>
  </si>
  <si>
    <t>Mouse</t>
  </si>
  <si>
    <t>ORD-00027</t>
  </si>
  <si>
    <t>ORD-00028</t>
  </si>
  <si>
    <t>ORD-00029</t>
  </si>
  <si>
    <t>ORD-00030</t>
  </si>
  <si>
    <t>ORD-00032</t>
  </si>
  <si>
    <t>ORD-00033</t>
  </si>
  <si>
    <t>ORD-00034</t>
  </si>
  <si>
    <t>ORD-00035</t>
  </si>
  <si>
    <t>ORD-00036</t>
  </si>
  <si>
    <t>ORD-00037</t>
  </si>
  <si>
    <t>ORD-00038</t>
  </si>
  <si>
    <t>ORD-00039</t>
  </si>
  <si>
    <t>ORD-00040</t>
  </si>
  <si>
    <t>ORD-00041</t>
  </si>
  <si>
    <t>ORD-00042</t>
  </si>
  <si>
    <t>ORD-00043</t>
  </si>
  <si>
    <t>Pen Set</t>
  </si>
  <si>
    <t>ORD-00044</t>
  </si>
  <si>
    <t>Mixer Grinder</t>
  </si>
  <si>
    <t>ORD-00045</t>
  </si>
  <si>
    <t>ORD-00046</t>
  </si>
  <si>
    <t>ORD-00047</t>
  </si>
  <si>
    <t>ORD-00048</t>
  </si>
  <si>
    <t>ORD-00049</t>
  </si>
  <si>
    <t>Unknown</t>
  </si>
  <si>
    <t>Office Chair</t>
  </si>
  <si>
    <t>ORD-00050</t>
  </si>
  <si>
    <t>ORD-00051</t>
  </si>
  <si>
    <t>ORD-00052</t>
  </si>
  <si>
    <t>ORD-00053</t>
  </si>
  <si>
    <t>ORD-00054</t>
  </si>
  <si>
    <t>Water Bottle</t>
  </si>
  <si>
    <t>ORD-00055</t>
  </si>
  <si>
    <t>ORD-00056</t>
  </si>
  <si>
    <t>ORD-00057</t>
  </si>
  <si>
    <t>ORD-00058</t>
  </si>
  <si>
    <t>ORD-00059</t>
  </si>
  <si>
    <t>ORD-00060</t>
  </si>
  <si>
    <t>ORD-00061</t>
  </si>
  <si>
    <t>Monitor</t>
  </si>
  <si>
    <t>ORD-00062</t>
  </si>
  <si>
    <t>ORD-00063</t>
  </si>
  <si>
    <t>ORD-00064</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</si>
  <si>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</si>
  <si>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</si>
  <si>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</si>
  <si>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</si>
  <si>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</si>
  <si>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</si>
  <si>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</si>
  <si>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</si>
  <si>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</si>
  <si>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</si>
  <si>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</si>
  <si>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</si>
  <si>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</si>
  <si>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</si>
  <si>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</si>
  <si>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</si>
  <si>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</si>
  <si>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</si>
  <si>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</si>
  <si>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</si>
  <si>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</si>
  <si>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</si>
  <si>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</si>
  <si>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</si>
  <si>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</si>
  <si>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</si>
  <si>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</si>
  <si>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</si>
  <si>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</si>
  <si>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</si>
  <si>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</si>
  <si>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</si>
  <si>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</si>
  <si>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</si>
  <si>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</si>
  <si>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</si>
  <si>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</si>
  <si>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</si>
  <si>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</si>
  <si>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</si>
  <si>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</si>
  <si>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</si>
  <si>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</si>
  <si>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</si>
  <si>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</si>
  <si>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</si>
  <si>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</si>
  <si>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</si>
  <si>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</si>
  <si>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</si>
  <si>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</si>
  <si>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</si>
  <si>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</si>
  <si>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</si>
  <si>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</si>
  <si>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</si>
  <si>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</si>
  <si>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</si>
  <si>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</si>
  <si>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</si>
  <si>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</si>
  <si>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</si>
  <si>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</si>
  <si>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</si>
  <si>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</si>
  <si>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</si>
  <si>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</si>
  <si>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</si>
  <si>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</si>
  <si>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</si>
  <si>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</si>
  <si>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</si>
  <si>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</si>
  <si>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</si>
  <si>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</si>
  <si>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</si>
  <si>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</si>
  <si>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</si>
  <si>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</si>
  <si>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</si>
  <si>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</si>
  <si>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</si>
  <si>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</si>
  <si>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</si>
  <si>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</si>
  <si>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</si>
  <si>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</si>
  <si>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</si>
  <si>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</si>
  <si>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</si>
  <si>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</si>
  <si>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</si>
  <si>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</si>
  <si>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</si>
  <si>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</si>
  <si>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</si>
  <si>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</si>
  <si>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</si>
  <si>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</si>
  <si>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</si>
  <si>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</si>
  <si>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</si>
  <si>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</si>
  <si>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</si>
  <si>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</si>
  <si>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</si>
  <si>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</si>
  <si>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</si>
  <si>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</si>
  <si>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</si>
  <si>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</si>
  <si>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</si>
  <si>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</si>
  <si>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</si>
  <si>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</si>
  <si>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</si>
  <si>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</si>
  <si>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</si>
  <si>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</si>
  <si>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</si>
  <si>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</si>
  <si>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</si>
  <si>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</si>
  <si>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</si>
  <si>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</si>
  <si>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</si>
  <si>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</si>
  <si>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</si>
  <si>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</si>
  <si>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</si>
  <si>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</si>
  <si>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</si>
  <si>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</si>
  <si>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</si>
  <si>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</si>
  <si>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</si>
  <si>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</si>
  <si>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</si>
  <si>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</si>
  <si>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</si>
  <si>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</si>
  <si>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</si>
  <si>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</si>
  <si>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</si>
  <si>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</si>
  <si>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</si>
  <si>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</si>
  <si>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</si>
  <si>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</si>
  <si>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</si>
  <si>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</si>
  <si>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</si>
  <si>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</si>
  <si>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</si>
  <si>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</si>
  <si>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</si>
  <si>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</si>
  <si>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</si>
  <si>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</si>
  <si>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</si>
  <si>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</si>
  <si>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</si>
  <si>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</si>
  <si>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</si>
  <si>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</si>
  <si>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</si>
  <si>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</si>
  <si>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</si>
  <si>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</si>
  <si>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</si>
  <si>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</si>
  <si>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</si>
  <si>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</si>
  <si>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</si>
  <si>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</si>
  <si>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</si>
  <si>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</si>
  <si>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</si>
  <si>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</si>
  <si>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</si>
  <si>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</si>
  <si>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</si>
  <si>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</si>
  <si>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</si>
  <si>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</si>
  <si>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</si>
  <si>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</si>
  <si>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</si>
  <si>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</si>
  <si>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</si>
  <si>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</si>
  <si>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</si>
  <si>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</si>
  <si>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</si>
  <si>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</si>
  <si>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</si>
  <si>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</si>
  <si>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</si>
  <si>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</si>
  <si>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</si>
  <si>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</si>
  <si>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</si>
  <si>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</si>
  <si>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</si>
  <si>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</si>
  <si>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</si>
  <si>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</si>
  <si>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</si>
  <si>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</si>
  <si>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</si>
  <si>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</si>
  <si>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</si>
  <si>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</si>
  <si>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</si>
  <si>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</si>
  <si>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</si>
  <si>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</si>
  <si>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</si>
  <si>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</si>
  <si>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</si>
  <si>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</si>
  <si>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</si>
  <si>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</si>
  <si>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</si>
  <si>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</si>
  <si>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</si>
  <si>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</si>
  <si>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</si>
  <si>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</si>
  <si>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</si>
  <si>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</si>
  <si>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</si>
  <si>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</si>
  <si>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</si>
  <si>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</si>
  <si>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</si>
  <si>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</si>
  <si>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</si>
  <si>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</si>
  <si>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</si>
  <si>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</si>
  <si>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</si>
  <si>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</si>
  <si>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</si>
  <si>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</si>
  <si>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</si>
  <si>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</si>
  <si>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</si>
  <si>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</si>
  <si>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</si>
  <si>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</si>
  <si>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</si>
  <si>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</si>
  <si>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</si>
  <si>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</si>
  <si>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</si>
  <si>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</si>
  <si>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</si>
  <si>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</si>
  <si>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</si>
  <si>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</si>
  <si>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</si>
  <si>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</si>
  <si>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</si>
  <si>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</si>
  <si>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</si>
  <si>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</si>
  <si>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</si>
  <si>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</si>
  <si>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</si>
  <si>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</si>
  <si>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</si>
  <si>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</si>
  <si>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</si>
  <si>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</si>
  <si>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</si>
  <si>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</si>
  <si>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</si>
  <si>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</si>
  <si>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</si>
  <si>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</si>
  <si>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</si>
  <si>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</si>
  <si>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</si>
  <si>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</si>
  <si>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</si>
  <si>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</si>
  <si>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</si>
  <si>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</si>
  <si>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</si>
  <si>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</si>
  <si>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</si>
  <si>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</si>
  <si>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</si>
  <si>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</si>
  <si>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</si>
  <si>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</si>
  <si>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</si>
  <si>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</si>
  <si>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</si>
  <si>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</si>
  <si>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</si>
  <si>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</si>
  <si>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</si>
  <si>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</si>
  <si>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</si>
  <si>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</si>
  <si>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</si>
  <si>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</si>
  <si>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</si>
  <si>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</si>
  <si>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</si>
  <si>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</si>
  <si>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</si>
  <si>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</si>
  <si>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</si>
  <si>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</si>
  <si>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</si>
  <si>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</si>
  <si>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</si>
  <si>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</si>
  <si>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</si>
  <si>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</si>
  <si>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</si>
  <si>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</si>
  <si>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</si>
  <si>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</si>
  <si>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</si>
  <si>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</si>
  <si>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</si>
  <si>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</si>
  <si>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</si>
  <si>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</si>
  <si>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</si>
  <si>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</si>
  <si>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</si>
  <si>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</si>
  <si>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</si>
  <si>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</si>
  <si>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</si>
  <si>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</si>
  <si>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</si>
  <si>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</si>
  <si>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</si>
  <si>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</si>
  <si>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</si>
  <si>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</si>
  <si>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</si>
  <si>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</si>
  <si>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</si>
  <si>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</si>
  <si>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</si>
  <si>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</si>
  <si>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</si>
  <si>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</si>
  <si>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</si>
  <si>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</si>
  <si>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</si>
  <si>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</si>
  <si>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</si>
  <si>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</si>
  <si>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</si>
  <si>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</si>
  <si>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</si>
  <si>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</si>
  <si>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</si>
  <si>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</si>
  <si>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</si>
  <si>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</si>
  <si>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</si>
  <si>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</si>
  <si>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</si>
  <si>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</si>
  <si>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</si>
  <si>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</si>
  <si>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</si>
  <si>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</si>
  <si>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</si>
  <si>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</si>
  <si>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</si>
  <si>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</si>
  <si>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</si>
  <si>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</si>
  <si>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</si>
  <si>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</si>
  <si>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</si>
  <si>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</si>
  <si>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</si>
  <si>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</si>
  <si>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</si>
  <si>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</si>
  <si>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</si>
  <si>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</si>
  <si>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</si>
  <si>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</si>
  <si>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</si>
  <si>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</si>
  <si>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</si>
  <si>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</si>
  <si>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</si>
  <si>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</si>
  <si>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</si>
  <si>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</si>
  <si>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</si>
  <si>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</si>
  <si>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</si>
  <si>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</si>
  <si>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</si>
  <si>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</si>
  <si>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</si>
  <si>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</si>
  <si>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</si>
  <si>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</si>
  <si>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</si>
  <si>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</si>
  <si>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</si>
  <si>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</si>
  <si>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</si>
  <si>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</si>
  <si>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</si>
  <si>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</si>
  <si>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</si>
  <si>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</si>
  <si>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</si>
  <si>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</si>
  <si>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</si>
  <si>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</si>
  <si>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</si>
  <si>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</si>
  <si>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</si>
  <si>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</si>
  <si>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</si>
  <si>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</si>
  <si>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</si>
  <si>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</si>
  <si>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</si>
  <si>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</si>
  <si>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</si>
  <si>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</si>
  <si>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</si>
  <si>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</si>
  <si>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</si>
  <si>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</si>
  <si>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</si>
  <si>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</si>
  <si>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</si>
  <si>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</si>
  <si>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</si>
  <si>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</si>
  <si>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</si>
  <si>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</si>
  <si>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</si>
  <si>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</si>
  <si>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</si>
  <si>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</si>
  <si>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</si>
  <si>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</si>
  <si>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</si>
  <si>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</si>
  <si>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</si>
  <si>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</si>
  <si>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</si>
  <si>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</si>
  <si>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</si>
  <si>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</si>
  <si>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</si>
  <si>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</si>
  <si>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</si>
  <si>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</si>
  <si>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</si>
  <si>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</si>
  <si>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</si>
  <si>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</si>
  <si>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</si>
  <si>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</si>
  <si>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</si>
  <si>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</si>
  <si>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</si>
  <si>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</si>
  <si>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</si>
  <si>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</si>
  <si>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</si>
  <si>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</si>
  <si>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</si>
  <si>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</si>
  <si>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</si>
  <si>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</si>
  <si>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</si>
  <si>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</si>
  <si>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</si>
  <si>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</si>
  <si>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</si>
  <si>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</si>
  <si>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</si>
  <si>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</si>
  <si>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</si>
  <si>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</si>
  <si>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</si>
  <si>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</si>
  <si>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</si>
  <si>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</si>
  <si>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</si>
  <si>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</si>
  <si>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</si>
  <si>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</si>
  <si>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</si>
  <si>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</si>
  <si>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</si>
  <si>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</si>
  <si>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</si>
  <si>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</si>
  <si>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</si>
  <si>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</si>
  <si>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</si>
  <si>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</si>
  <si>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</si>
  <si>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</si>
  <si>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</si>
  <si>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</si>
  <si>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</si>
  <si>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</si>
  <si>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</si>
  <si>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</si>
  <si>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</si>
  <si>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</si>
  <si>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</si>
  <si>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</si>
  <si>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</si>
  <si>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</si>
  <si>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</si>
  <si>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</si>
  <si>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</si>
  <si>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</si>
  <si>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</si>
  <si>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</si>
  <si>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</si>
  <si>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</si>
  <si>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</si>
  <si>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</si>
  <si>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</si>
  <si>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</si>
  <si>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</si>
  <si>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</si>
  <si>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</si>
  <si>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</si>
  <si>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</si>
  <si>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</si>
  <si>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</si>
  <si>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</si>
  <si>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</si>
  <si>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</si>
  <si>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</si>
  <si>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</si>
  <si>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</si>
  <si>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</si>
  <si>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</si>
  <si>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</si>
  <si>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</si>
  <si>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</si>
  <si>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</si>
  <si>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</si>
  <si>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</si>
  <si>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</si>
  <si>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</si>
  <si>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</si>
  <si>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</si>
  <si>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</si>
  <si>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</si>
  <si>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</si>
  <si>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</si>
  <si>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</si>
  <si>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</si>
  <si>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</si>
  <si>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</si>
  <si>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</si>
  <si>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</si>
  <si>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</si>
  <si>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</si>
  <si>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</si>
  <si>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</si>
  <si>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</si>
  <si>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</si>
  <si>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</si>
  <si>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</si>
  <si>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</si>
  <si>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</si>
  <si>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</si>
  <si>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</si>
  <si>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</si>
  <si>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</si>
  <si>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</si>
  <si>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</si>
  <si>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</si>
  <si>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</si>
  <si>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</si>
  <si>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</si>
  <si>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</si>
  <si>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</si>
  <si>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</si>
  <si>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</si>
  <si>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</si>
  <si>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</si>
  <si>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</si>
  <si>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</si>
  <si>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</si>
  <si>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</si>
  <si>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</si>
  <si>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</si>
  <si>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</si>
  <si>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</si>
  <si>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</si>
  <si>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</si>
  <si>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</si>
  <si>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</si>
  <si>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</si>
  <si>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</si>
  <si>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</si>
  <si>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</si>
  <si>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</si>
  <si>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</si>
  <si>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</si>
  <si>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</si>
  <si>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</si>
  <si>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</si>
  <si>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</si>
  <si>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</si>
  <si>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</si>
  <si>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</si>
  <si>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</si>
  <si>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</si>
  <si>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</si>
  <si>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</si>
  <si>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</si>
  <si>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</si>
  <si>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</si>
  <si>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</si>
  <si>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</si>
  <si>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</si>
  <si>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</si>
  <si>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</si>
  <si>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</si>
  <si>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</si>
  <si>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</si>
  <si>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</si>
  <si>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</si>
  <si>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</si>
  <si>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</si>
  <si>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</si>
  <si>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</si>
  <si>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</si>
  <si>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</si>
  <si>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</si>
  <si>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</si>
  <si>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</si>
  <si>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</si>
  <si>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</si>
  <si>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</si>
  <si>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</si>
  <si>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</si>
  <si>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</si>
  <si>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</si>
  <si>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</si>
  <si>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</si>
  <si>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</si>
  <si>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</si>
  <si>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</si>
  <si>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</si>
  <si>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</si>
  <si>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</si>
  <si>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</si>
  <si>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</si>
  <si>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</si>
  <si>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</si>
  <si>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</si>
  <si>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</si>
  <si>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</si>
  <si>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</si>
  <si>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</si>
  <si>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</si>
  <si>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</si>
  <si>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</si>
  <si>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</si>
  <si>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</si>
  <si>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</si>
  <si>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</si>
  <si>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</si>
  <si>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</si>
  <si>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</si>
  <si>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</si>
  <si>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</si>
  <si>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</si>
  <si>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</si>
  <si>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</si>
  <si>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</si>
  <si>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</si>
  <si>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</si>
  <si>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</si>
  <si>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</si>
  <si>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</si>
  <si>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</si>
  <si>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</si>
  <si>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</si>
  <si>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</si>
  <si>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</si>
  <si>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</si>
  <si>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</si>
  <si>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</si>
  <si>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</si>
  <si>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</si>
  <si>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</si>
  <si>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</si>
  <si>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</si>
  <si>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</si>
  <si>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</si>
  <si>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</si>
  <si>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</si>
  <si>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</si>
  <si>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</si>
  <si>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</si>
  <si>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</si>
  <si>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</si>
  <si>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</si>
  <si>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</si>
  <si>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</si>
  <si>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</si>
  <si>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</si>
  <si>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</si>
  <si>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</si>
  <si>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</si>
  <si>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</si>
  <si>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</si>
  <si>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</si>
  <si>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</si>
  <si>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</si>
  <si>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</si>
  <si>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</si>
  <si>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</si>
  <si>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</si>
  <si>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</si>
  <si>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</si>
  <si>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</si>
  <si>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</si>
  <si>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</si>
  <si>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</si>
  <si>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</si>
  <si>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</si>
  <si>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</si>
  <si>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</si>
  <si>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</si>
  <si>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</si>
  <si>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</si>
  <si>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</si>
  <si>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</si>
  <si>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</si>
  <si>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</si>
  <si>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</si>
  <si>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</si>
  <si>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</si>
  <si>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</si>
  <si>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</si>
  <si>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</si>
  <si>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</si>
  <si>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</si>
  <si>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</si>
  <si>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</si>
  <si>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</si>
  <si>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</si>
  <si>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</si>
  <si>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</si>
  <si>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</si>
  <si>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</si>
  <si>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</si>
  <si>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</si>
  <si>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</si>
  <si>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</si>
  <si>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</si>
  <si>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</si>
  <si>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</si>
  <si>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</si>
  <si>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</si>
  <si>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</si>
  <si>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</si>
  <si>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</si>
  <si>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</si>
  <si>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</si>
  <si>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</si>
  <si>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</si>
  <si>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</si>
  <si>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</si>
  <si>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</si>
  <si>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</si>
  <si>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</si>
  <si>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</si>
  <si>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</si>
  <si>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</si>
  <si>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</si>
  <si>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</si>
  <si>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</si>
  <si>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</si>
  <si>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</si>
  <si>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</si>
  <si>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</si>
  <si>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</si>
  <si>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</si>
  <si>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</si>
  <si>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</si>
  <si>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</si>
  <si>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</si>
  <si>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</si>
  <si>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</si>
  <si>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</si>
  <si>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</si>
  <si>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</si>
  <si>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</si>
  <si>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</si>
  <si>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</si>
  <si>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</si>
  <si>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</si>
  <si>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</si>
  <si>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</si>
  <si>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</si>
  <si>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</si>
  <si>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</si>
  <si>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</si>
  <si>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</si>
  <si>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</si>
  <si>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</si>
  <si>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</si>
  <si>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</si>
  <si>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</si>
  <si>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</si>
  <si>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</si>
  <si>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</si>
  <si>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</si>
  <si>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</si>
  <si>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</si>
  <si>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</si>
  <si>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</si>
  <si>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</si>
  <si>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</si>
  <si>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</si>
  <si>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</si>
  <si>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</si>
  <si>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</si>
  <si>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</si>
  <si>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</si>
  <si>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</si>
  <si>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</si>
  <si>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</si>
  <si>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</si>
  <si>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</si>
  <si>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</si>
  <si>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</si>
  <si>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</si>
  <si>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</si>
  <si>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</si>
  <si>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</si>
  <si>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</si>
  <si>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</si>
  <si>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</si>
  <si>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</si>
  <si>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</si>
  <si>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</si>
  <si>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</si>
  <si>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</si>
  <si>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</si>
  <si>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</si>
  <si>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</si>
  <si>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</si>
  <si>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</si>
  <si>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</si>
  <si>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</si>
  <si>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</si>
  <si>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</si>
  <si>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</si>
  <si>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</si>
  <si>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</si>
  <si>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</si>
  <si>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</si>
  <si>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</si>
  <si>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</si>
  <si>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</si>
  <si>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</si>
  <si>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</si>
  <si>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</si>
  <si>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</si>
  <si>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</si>
  <si>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</si>
  <si>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</si>
  <si>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</si>
  <si>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</si>
  <si>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</si>
  <si>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</si>
  <si>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</si>
  <si>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</si>
  <si>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</si>
  <si>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</si>
  <si>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</si>
  <si>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</si>
  <si>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</si>
  <si>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</si>
  <si>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</si>
  <si>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</si>
  <si>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</si>
  <si>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</si>
  <si>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</si>
  <si>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</si>
  <si>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</si>
  <si>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</si>
  <si>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</si>
  <si>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</si>
  <si>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</si>
  <si>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</si>
  <si>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</si>
  <si>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</si>
  <si>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</si>
  <si>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</si>
  <si>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</si>
  <si>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</si>
  <si>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</si>
  <si>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</si>
  <si>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</si>
  <si>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</si>
  <si>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</si>
  <si>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</si>
  <si>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</si>
  <si>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</si>
  <si>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</si>
  <si>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</si>
  <si>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</si>
  <si>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</si>
  <si>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</si>
  <si>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Row Labels</t>
  </si>
  <si>
    <t>Grand Total</t>
  </si>
  <si>
    <t>Jan</t>
  </si>
  <si>
    <t>Feb</t>
  </si>
  <si>
    <t>Mar</t>
  </si>
  <si>
    <t>Apr</t>
  </si>
  <si>
    <t>May</t>
  </si>
  <si>
    <t>Jun</t>
  </si>
  <si>
    <t>Jul</t>
  </si>
  <si>
    <t>Aug</t>
  </si>
  <si>
    <t>Sep</t>
  </si>
  <si>
    <t>Oct</t>
  </si>
  <si>
    <t>Nov</t>
  </si>
  <si>
    <t>Dec</t>
  </si>
  <si>
    <t>Sum of Sales</t>
  </si>
  <si>
    <t>Sum of Profit</t>
  </si>
  <si>
    <t>Sum of Quantity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</si>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</sst>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0_ ;\-#,##0\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0">
    <xf numFmtId="0" fontId="0" fillId="0" borderId="0" xfId="0"/>
    <xf numFmtId="14" fontId="0" fillId="0" borderId="0" xfId="0" applyNumberFormat="1"/>
    <xf numFmtId="44" fontId="0" fillId="0" borderId="0" xfId="42" applyFont="1"/>
    <xf numFmtId="0" fontId="0" fillId="0" borderId="0" xfId="0" pivotButton="1"/>
    <xf numFmtId="0" fontId="0" fillId="0" borderId="0" xfId="0" applyAlignment="1">
      <alignment horizontal="left"/>
    </xf>
    <xf numFmtId="43" fontId="0" fillId="0" borderId="0" xfId="0" applyNumberFormat="1"/>
    <xf numFmtId="43" fontId="0" fillId="0" borderId="0" xfId="43" applyFont="1"/>
    <xf numFmtId="164" fontId="0" fillId="0" borderId="0" xfId="0" applyNumberFormat="1"/>
    <xf numFmtId="0" fontId="0" fillId="33" borderId="0" xfId="0" applyFill="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35" formatCode="_ * #,##0.00_ ;_ * \-#,##0.00_ ;_ * &quot;-&quot;??_ ;_ @_ "/>
    </dxf>
    <dxf>
      <numFmt numFmtId="35" formatCode="_ * #,##0.00_ ;_ * \-#,##0.00_ ;_ * &quot;-&quot;??_ ;_ @_ "/>
    </dxf>
    <dxf>
      <numFmt numFmtId="164" formatCode="#,##0_ ;\-#,##0\ "/>
    </dxf>
    <dxf>
      <numFmt numFmtId="19" formatCode="dd/mm/yyyy"/>
    </dxf>
    <dxf>
      <numFmt numFmtId="164" formatCode="#,##0_ ;\-#,##0\ "/>
    </dxf>
    <dxf>
      <numFmt numFmtId="35" formatCode="_ * #,##0.00_ ;_ * \-#,##0.00_ ;_ * &quot;-&quot;??_ ;_ @_ "/>
    </dxf>
    <dxf>
      <numFmt numFmtId="35" formatCode="_ * #,##0.00_ ;_ * \-#,##0.00_ ;_ * &quot;-&quot;??_ ;_ @_ "/>
    </dxf>
  </dxfs>
  <tableStyles count="0" defaultTableStyle="TableStyleMedium2" defaultPivotStyle="PivotStyleLight16"/>
  <colors>
    <mruColors>
      <color rgb="FFF2DDDA"/>
      <color rgb="FFE3B5AF"/>
      <color rgb="FFE400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[Retail_Sales_Analysis_Dashboard.xlsx]Monthly sales 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a:p>
            <a:pPr>
              <a:defRPr/>
            </a:pP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2057698.5</c:v>
                </c:pt>
                <c:pt idx="1">
                  <c:v>2130781.5</c:v>
                </c:pt>
                <c:pt idx="2">
                  <c:v>2667736.5</c:v>
                </c:pt>
                <c:pt idx="3">
                  <c:v>2354431</c:v>
                </c:pt>
                <c:pt idx="4">
                  <c:v>2768001</c:v>
                </c:pt>
                <c:pt idx="5">
                  <c:v>1921204</c:v>
                </c:pt>
                <c:pt idx="6">
                  <c:v>2538461.5</c:v>
                </c:pt>
                <c:pt idx="7">
                  <c:v>4017692</c:v>
                </c:pt>
                <c:pt idx="8">
                  <c:v>3404085</c:v>
                </c:pt>
                <c:pt idx="9">
                  <c:v>1251141</c:v>
                </c:pt>
                <c:pt idx="10">
                  <c:v>3495110</c:v>
                </c:pt>
                <c:pt idx="11">
                  <c:v>1289100.5</c:v>
                </c:pt>
              </c:numCache>
            </c:numRef>
          </c:val>
          <c:smooth val="0"/>
          <c:extLst>
            <c:ext xmlns:c16="http://schemas.microsoft.com/office/drawing/2014/chart" uri="{C3380CC4-5D6E-409C-BE32-E72D297353CC}">
              <c16:uniqueId val="{00000000-9038-4DB0-A098-9D9A6BAD7840}"/>
            </c:ext>
          </c:extLst>
        </c:ser>
        <c:dLbls>
          <c:showLegendKey val="0"/>
          <c:showVal val="0"/>
          <c:showCatName val="0"/>
          <c:showSerName val="0"/>
          <c:showPercent val="0"/>
          <c:showBubbleSize val="0"/>
        </c:dLbls>
        <c:marker val="1"/>
        <c:smooth val="0"/>
        <c:axId val="1372472688"/>
        <c:axId val="1372473168"/>
      </c:lineChart>
      <c:catAx>
        <c:axId val="137247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473168"/>
        <c:crosses val="autoZero"/>
        <c:auto val="1"/>
        <c:lblAlgn val="ctr"/>
        <c:lblOffset val="100"/>
        <c:noMultiLvlLbl val="0"/>
      </c:catAx>
      <c:valAx>
        <c:axId val="137247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47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Region!PivotTable2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Region'!$A$4:$A$10</c:f>
              <c:strCache>
                <c:ptCount val="6"/>
                <c:pt idx="0">
                  <c:v>Central</c:v>
                </c:pt>
                <c:pt idx="1">
                  <c:v>East</c:v>
                </c:pt>
                <c:pt idx="2">
                  <c:v>North</c:v>
                </c:pt>
                <c:pt idx="3">
                  <c:v>South</c:v>
                </c:pt>
                <c:pt idx="4">
                  <c:v>West</c:v>
                </c:pt>
                <c:pt idx="5">
                  <c:v>Unknown</c:v>
                </c:pt>
              </c:strCache>
            </c:strRef>
          </c:cat>
          <c:val>
            <c:numRef>
              <c:f>'Sales By Region'!$B$4:$B$10</c:f>
              <c:numCache>
                <c:formatCode>General</c:formatCode>
                <c:ptCount val="6"/>
                <c:pt idx="0">
                  <c:v>5719616</c:v>
                </c:pt>
                <c:pt idx="1">
                  <c:v>6941796.5</c:v>
                </c:pt>
                <c:pt idx="2">
                  <c:v>5249933</c:v>
                </c:pt>
                <c:pt idx="3">
                  <c:v>6089520.5</c:v>
                </c:pt>
                <c:pt idx="4">
                  <c:v>5307956.5</c:v>
                </c:pt>
                <c:pt idx="5">
                  <c:v>586620</c:v>
                </c:pt>
              </c:numCache>
            </c:numRef>
          </c:val>
          <c:extLst>
            <c:ext xmlns:c16="http://schemas.microsoft.com/office/drawing/2014/chart" uri="{C3380CC4-5D6E-409C-BE32-E72D297353CC}">
              <c16:uniqueId val="{00000000-A14C-4B7A-914B-C518E6AC67E8}"/>
            </c:ext>
          </c:extLst>
        </c:ser>
        <c:dLbls>
          <c:dLblPos val="outEnd"/>
          <c:showLegendKey val="0"/>
          <c:showVal val="1"/>
          <c:showCatName val="0"/>
          <c:showSerName val="0"/>
          <c:showPercent val="0"/>
          <c:showBubbleSize val="0"/>
        </c:dLbls>
        <c:gapWidth val="219"/>
        <c:overlap val="-27"/>
        <c:axId val="108778288"/>
        <c:axId val="108779248"/>
      </c:barChart>
      <c:catAx>
        <c:axId val="1087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9248"/>
        <c:crosses val="autoZero"/>
        <c:auto val="1"/>
        <c:lblAlgn val="ctr"/>
        <c:lblOffset val="100"/>
        <c:noMultiLvlLbl val="0"/>
      </c:catAx>
      <c:valAx>
        <c:axId val="10877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[Retail_Sales_Analysis_Dashboard.xlsx]Monthly sales trend!PivotTable1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a:p>
            <a:pPr>
              <a:defRPr/>
            </a:pPr>
            <a:r>
              <a:rPr lang="en-IN" baseline="0"/>
              <a:t> </a:t>
            </a:r>
            <a:endParaRPr lang="en-IN"/>
          </a:p>
        </c:rich>
      </c:tx>
      <c:layout>
        <c:manualLayout>
          <c:xMode val="edge"/>
          <c:yMode val="edge"/>
          <c:x val="0.27571573395723875"/>
          <c:y val="4.8455872224737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2057698.5</c:v>
                </c:pt>
                <c:pt idx="1">
                  <c:v>2130781.5</c:v>
                </c:pt>
                <c:pt idx="2">
                  <c:v>2667736.5</c:v>
                </c:pt>
                <c:pt idx="3">
                  <c:v>2354431</c:v>
                </c:pt>
                <c:pt idx="4">
                  <c:v>2768001</c:v>
                </c:pt>
                <c:pt idx="5">
                  <c:v>1921204</c:v>
                </c:pt>
                <c:pt idx="6">
                  <c:v>2538461.5</c:v>
                </c:pt>
                <c:pt idx="7">
                  <c:v>4017692</c:v>
                </c:pt>
                <c:pt idx="8">
                  <c:v>3404085</c:v>
                </c:pt>
                <c:pt idx="9">
                  <c:v>1251141</c:v>
                </c:pt>
                <c:pt idx="10">
                  <c:v>3495110</c:v>
                </c:pt>
                <c:pt idx="11">
                  <c:v>1289100.5</c:v>
                </c:pt>
              </c:numCache>
            </c:numRef>
          </c:val>
          <c:smooth val="0"/>
          <c:extLst>
            <c:ext xmlns:c16="http://schemas.microsoft.com/office/drawing/2014/chart" uri="{C3380CC4-5D6E-409C-BE32-E72D297353CC}">
              <c16:uniqueId val="{00000000-8400-40CB-9A08-76DBD8F784C4}"/>
            </c:ext>
          </c:extLst>
        </c:ser>
        <c:dLbls>
          <c:showLegendKey val="0"/>
          <c:showVal val="0"/>
          <c:showCatName val="0"/>
          <c:showSerName val="0"/>
          <c:showPercent val="0"/>
          <c:showBubbleSize val="0"/>
        </c:dLbls>
        <c:marker val="1"/>
        <c:smooth val="0"/>
        <c:axId val="1372472688"/>
        <c:axId val="1372473168"/>
      </c:lineChart>
      <c:catAx>
        <c:axId val="137247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473168"/>
        <c:crosses val="autoZero"/>
        <c:auto val="1"/>
        <c:lblAlgn val="ctr"/>
        <c:lblOffset val="100"/>
        <c:noMultiLvlLbl val="0"/>
      </c:catAx>
      <c:valAx>
        <c:axId val="137247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47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5349129206244"/>
          <c:y val="0.19879490516070225"/>
          <c:w val="0.79177579260339004"/>
          <c:h val="0.71525301822257814"/>
        </c:manualLayout>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Region'!$A$4:$A$10</c:f>
              <c:strCache>
                <c:ptCount val="6"/>
                <c:pt idx="0">
                  <c:v>Central</c:v>
                </c:pt>
                <c:pt idx="1">
                  <c:v>East</c:v>
                </c:pt>
                <c:pt idx="2">
                  <c:v>North</c:v>
                </c:pt>
                <c:pt idx="3">
                  <c:v>South</c:v>
                </c:pt>
                <c:pt idx="4">
                  <c:v>West</c:v>
                </c:pt>
                <c:pt idx="5">
                  <c:v>Unknown</c:v>
                </c:pt>
              </c:strCache>
            </c:strRef>
          </c:cat>
          <c:val>
            <c:numRef>
              <c:f>'Sales By Region'!$B$4:$B$10</c:f>
              <c:numCache>
                <c:formatCode>General</c:formatCode>
                <c:ptCount val="6"/>
                <c:pt idx="0">
                  <c:v>5719616</c:v>
                </c:pt>
                <c:pt idx="1">
                  <c:v>6941796.5</c:v>
                </c:pt>
                <c:pt idx="2">
                  <c:v>5249933</c:v>
                </c:pt>
                <c:pt idx="3">
                  <c:v>6089520.5</c:v>
                </c:pt>
                <c:pt idx="4">
                  <c:v>5307956.5</c:v>
                </c:pt>
                <c:pt idx="5">
                  <c:v>586620</c:v>
                </c:pt>
              </c:numCache>
            </c:numRef>
          </c:val>
          <c:extLst>
            <c:ext xmlns:c16="http://schemas.microsoft.com/office/drawing/2014/chart" uri="{C3380CC4-5D6E-409C-BE32-E72D297353CC}">
              <c16:uniqueId val="{00000000-B55C-4E8D-8FE4-23728D0B6367}"/>
            </c:ext>
          </c:extLst>
        </c:ser>
        <c:dLbls>
          <c:dLblPos val="outEnd"/>
          <c:showLegendKey val="0"/>
          <c:showVal val="1"/>
          <c:showCatName val="0"/>
          <c:showSerName val="0"/>
          <c:showPercent val="0"/>
          <c:showBubbleSize val="0"/>
        </c:dLbls>
        <c:gapWidth val="219"/>
        <c:overlap val="-27"/>
        <c:axId val="108778288"/>
        <c:axId val="108779248"/>
      </c:barChart>
      <c:catAx>
        <c:axId val="1087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9248"/>
        <c:crosses val="autoZero"/>
        <c:auto val="1"/>
        <c:lblAlgn val="ctr"/>
        <c:lblOffset val="100"/>
        <c:noMultiLvlLbl val="0"/>
      </c:catAx>
      <c:valAx>
        <c:axId val="10877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Category!PivotTable3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BF-49E5-B1E1-B2FCCAA4E7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BF-49E5-B1E1-B2FCCAA4E7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BF-49E5-B1E1-B2FCCAA4E7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BF-49E5-B1E1-B2FCCAA4E7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BF-49E5-B1E1-B2FCCAA4E7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Category'!$A$4:$A$9</c:f>
              <c:strCache>
                <c:ptCount val="5"/>
                <c:pt idx="0">
                  <c:v>Furniture</c:v>
                </c:pt>
                <c:pt idx="1">
                  <c:v>Home &amp; Kitchen</c:v>
                </c:pt>
                <c:pt idx="2">
                  <c:v>Office Supplies</c:v>
                </c:pt>
                <c:pt idx="3">
                  <c:v>Technology</c:v>
                </c:pt>
                <c:pt idx="4">
                  <c:v>Unknown</c:v>
                </c:pt>
              </c:strCache>
            </c:strRef>
          </c:cat>
          <c:val>
            <c:numRef>
              <c:f>'Sales by Category'!$B$4:$B$9</c:f>
              <c:numCache>
                <c:formatCode>General</c:formatCode>
                <c:ptCount val="5"/>
                <c:pt idx="0">
                  <c:v>8648475</c:v>
                </c:pt>
                <c:pt idx="1">
                  <c:v>1817322.5</c:v>
                </c:pt>
                <c:pt idx="2">
                  <c:v>410315</c:v>
                </c:pt>
                <c:pt idx="3">
                  <c:v>18927710</c:v>
                </c:pt>
                <c:pt idx="4">
                  <c:v>91620</c:v>
                </c:pt>
              </c:numCache>
            </c:numRef>
          </c:val>
          <c:extLst>
            <c:ext xmlns:c16="http://schemas.microsoft.com/office/drawing/2014/chart" uri="{C3380CC4-5D6E-409C-BE32-E72D297353CC}">
              <c16:uniqueId val="{0000000A-C3BF-49E5-B1E1-B2FCCAA4E77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7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[Retail_Sales_Analysis_Dashboard.xlsx]Profit by product!PivotTable4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5327227238131"/>
          <c:y val="0.12546475731984277"/>
          <c:w val="0.78406695281314054"/>
          <c:h val="0.78179888532667796"/>
        </c:manualLayout>
      </c:layout>
      <c:barChart>
        <c:barDir val="bar"/>
        <c:grouping val="clustered"/>
        <c:varyColors val="0"/>
        <c:ser>
          <c:idx val="0"/>
          <c:order val="0"/>
          <c:tx>
            <c:strRef>
              <c:f>'Profit by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product'!$A$4:$A$14</c:f>
              <c:strCache>
                <c:ptCount val="10"/>
                <c:pt idx="0">
                  <c:v>Headphones</c:v>
                </c:pt>
                <c:pt idx="1">
                  <c:v>Keyboard</c:v>
                </c:pt>
                <c:pt idx="2">
                  <c:v>Cookware Set</c:v>
                </c:pt>
                <c:pt idx="3">
                  <c:v>Mixer Grinder</c:v>
                </c:pt>
                <c:pt idx="4">
                  <c:v>Webcam</c:v>
                </c:pt>
                <c:pt idx="5">
                  <c:v>Bookshelf</c:v>
                </c:pt>
                <c:pt idx="6">
                  <c:v>Monitor</c:v>
                </c:pt>
                <c:pt idx="7">
                  <c:v>Office Chair</c:v>
                </c:pt>
                <c:pt idx="8">
                  <c:v>Desk Lamp</c:v>
                </c:pt>
                <c:pt idx="9">
                  <c:v>Laptop</c:v>
                </c:pt>
              </c:strCache>
            </c:strRef>
          </c:cat>
          <c:val>
            <c:numRef>
              <c:f>'Profit by product'!$B$4:$B$14</c:f>
              <c:numCache>
                <c:formatCode>General</c:formatCode>
                <c:ptCount val="10"/>
                <c:pt idx="0">
                  <c:v>75942.360000000015</c:v>
                </c:pt>
                <c:pt idx="1">
                  <c:v>81727.079999999987</c:v>
                </c:pt>
                <c:pt idx="2">
                  <c:v>168859.77000000005</c:v>
                </c:pt>
                <c:pt idx="3">
                  <c:v>191299.05</c:v>
                </c:pt>
                <c:pt idx="4">
                  <c:v>192671.13</c:v>
                </c:pt>
                <c:pt idx="5">
                  <c:v>521140.01000000007</c:v>
                </c:pt>
                <c:pt idx="6">
                  <c:v>532730.28999999992</c:v>
                </c:pt>
                <c:pt idx="7">
                  <c:v>582299.80000000016</c:v>
                </c:pt>
                <c:pt idx="8">
                  <c:v>1114600.1199999996</c:v>
                </c:pt>
                <c:pt idx="9">
                  <c:v>3689613.4699999993</c:v>
                </c:pt>
              </c:numCache>
            </c:numRef>
          </c:val>
          <c:extLst>
            <c:ext xmlns:c16="http://schemas.microsoft.com/office/drawing/2014/chart" uri="{C3380CC4-5D6E-409C-BE32-E72D297353CC}">
              <c16:uniqueId val="{00000000-A5D7-4AA8-9B01-CCCE72DCA599}"/>
            </c:ext>
          </c:extLst>
        </c:ser>
        <c:dLbls>
          <c:dLblPos val="outEnd"/>
          <c:showLegendKey val="0"/>
          <c:showVal val="1"/>
          <c:showCatName val="0"/>
          <c:showSerName val="0"/>
          <c:showPercent val="0"/>
          <c:showBubbleSize val="0"/>
        </c:dLbls>
        <c:gapWidth val="115"/>
        <c:overlap val="-20"/>
        <c:axId val="161483888"/>
        <c:axId val="161481968"/>
      </c:barChart>
      <c:catAx>
        <c:axId val="1614838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1968"/>
        <c:crosses val="autoZero"/>
        <c:auto val="1"/>
        <c:lblAlgn val="ctr"/>
        <c:lblOffset val="100"/>
        <c:noMultiLvlLbl val="0"/>
      </c:catAx>
      <c:valAx>
        <c:axId val="16148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[Retail_Sales_Analysis_Dashboard.xlsx]Sales by Category!PivotTable3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91-4D00-B3DB-1ED4706D4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91-4D00-B3DB-1ED4706D4F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91-4D00-B3DB-1ED4706D4F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91-4D00-B3DB-1ED4706D4F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91-4D00-B3DB-1ED4706D4F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'Sales by Category'!$A$4:$A$9</c:f>
              <c:strCache>
                <c:ptCount val="5"/>
                <c:pt idx="0">
                  <c:v>Furniture</c:v>
                </c:pt>
                <c:pt idx="1">
                  <c:v>Home &amp; Kitchen</c:v>
                </c:pt>
                <c:pt idx="2">
                  <c:v>Office Supplies</c:v>
                </c:pt>
                <c:pt idx="3">
                  <c:v>Technology</c:v>
                </c:pt>
                <c:pt idx="4">
                  <c:v>Unknown</c:v>
                </c:pt>
              </c:strCache>
            </c:strRef>
          </c:cat>
          <c:val>
            <c:numRef>
              <c:f>'Sales by Category'!$B$4:$B$9</c:f>
              <c:numCache>
                <c:formatCode>General</c:formatCode>
                <c:ptCount val="5"/>
                <c:pt idx="0">
                  <c:v>8648475</c:v>
                </c:pt>
                <c:pt idx="1">
                  <c:v>1817322.5</c:v>
                </c:pt>
                <c:pt idx="2">
                  <c:v>410315</c:v>
                </c:pt>
                <c:pt idx="3">
                  <c:v>18927710</c:v>
                </c:pt>
                <c:pt idx="4">
                  <c:v>91620</c:v>
                </c:pt>
              </c:numCache>
            </c:numRef>
          </c:val>
          <c:extLst>
            <c:ext xmlns:c16="http://schemas.microsoft.com/office/drawing/2014/chart" uri="{C3380CC4-5D6E-409C-BE32-E72D297353CC}">
              <c16:uniqueId val="{0000000A-B191-4D00-B3DB-1ED4706D4F33}"/>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[Retail_Sales_Analysis_Dashboard.xlsx]Profit by product!PivotTable4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9428830710618"/>
          <c:y val="0.12546475731984277"/>
          <c:w val="0.73148315476958814"/>
          <c:h val="0.72520534997892105"/>
        </c:manualLayout>
      </c:layout>
      <c:barChart>
        <c:barDir val="bar"/>
        <c:grouping val="clustered"/>
        <c:varyColors val="0"/>
        <c:ser>
          <c:idx val="0"/>
          <c:order val="0"/>
          <c:tx>
            <c:strRef>
              <c:f>'Profit by product'!$B$3</c:f>
              <c:strCache>
                <c:ptCount val="1"/>
                <c:pt idx="0">
                  <c:v>Total</c:v>
                </c:pt>
              </c:strCache>
            </c:strRef>
          </c:tx>
          <c:spPr>
            <a:solidFill>
              <a:schemeClr val="accent1"/>
            </a:solidFill>
            <a:ln>
              <a:noFill/>
            </a:ln>
            <a:effectLst/>
          </c:spPr>
          <c:invertIfNegative val="0"/>
          <c:cat>
            <c:strRef>
              <c:f>'Profit by product'!$A$4:$A$14</c:f>
              <c:strCache>
                <c:ptCount val="10"/>
                <c:pt idx="0">
                  <c:v>Headphones</c:v>
                </c:pt>
                <c:pt idx="1">
                  <c:v>Keyboard</c:v>
                </c:pt>
                <c:pt idx="2">
                  <c:v>Cookware Set</c:v>
                </c:pt>
                <c:pt idx="3">
                  <c:v>Mixer Grinder</c:v>
                </c:pt>
                <c:pt idx="4">
                  <c:v>Webcam</c:v>
                </c:pt>
                <c:pt idx="5">
                  <c:v>Bookshelf</c:v>
                </c:pt>
                <c:pt idx="6">
                  <c:v>Monitor</c:v>
                </c:pt>
                <c:pt idx="7">
                  <c:v>Office Chair</c:v>
                </c:pt>
                <c:pt idx="8">
                  <c:v>Desk Lamp</c:v>
                </c:pt>
                <c:pt idx="9">
                  <c:v>Laptop</c:v>
                </c:pt>
              </c:strCache>
            </c:strRef>
          </c:cat>
          <c:val>
            <c:numRef>
              <c:f>'Profit by product'!$B$4:$B$14</c:f>
              <c:numCache>
                <c:formatCode>General</c:formatCode>
                <c:ptCount val="10"/>
                <c:pt idx="0">
                  <c:v>75942.360000000015</c:v>
                </c:pt>
                <c:pt idx="1">
                  <c:v>81727.079999999987</c:v>
                </c:pt>
                <c:pt idx="2">
                  <c:v>168859.77000000005</c:v>
                </c:pt>
                <c:pt idx="3">
                  <c:v>191299.05</c:v>
                </c:pt>
                <c:pt idx="4">
                  <c:v>192671.13</c:v>
                </c:pt>
                <c:pt idx="5">
                  <c:v>521140.01000000007</c:v>
                </c:pt>
                <c:pt idx="6">
                  <c:v>532730.28999999992</c:v>
                </c:pt>
                <c:pt idx="7">
                  <c:v>582299.80000000016</c:v>
                </c:pt>
                <c:pt idx="8">
                  <c:v>1114600.1199999996</c:v>
                </c:pt>
                <c:pt idx="9">
                  <c:v>3689613.4699999993</c:v>
                </c:pt>
              </c:numCache>
            </c:numRef>
          </c:val>
          <c:extLst>
            <c:ext xmlns:c16="http://schemas.microsoft.com/office/drawing/2014/chart" uri="{C3380CC4-5D6E-409C-BE32-E72D297353CC}">
              <c16:uniqueId val="{00000000-A30E-4469-9A58-9CC6DE6B99FE}"/>
            </c:ext>
          </c:extLst>
        </c:ser>
        <c:dLbls>
          <c:showLegendKey val="0"/>
          <c:showVal val="0"/>
          <c:showCatName val="0"/>
          <c:showSerName val="0"/>
          <c:showPercent val="0"/>
          <c:showBubbleSize val="0"/>
        </c:dLbls>
        <c:gapWidth val="182"/>
        <c:axId val="161483888"/>
        <c:axId val="161481968"/>
      </c:barChart>
      <c:catAx>
        <c:axId val="16148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1968"/>
        <c:crosses val="autoZero"/>
        <c:auto val="1"/>
        <c:lblAlgn val="ctr"/>
        <c:lblOffset val="100"/>
        <c:noMultiLvlLbl val="0"/>
      </c:catAx>
      <c:valAx>
        <c:axId val="16148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8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18</xdr:row>
      <xdr:rowOff>0</xdr:rowOff>
    </xdr:to>
    <xdr:graphicFrame macro="">
      <xdr:nvGraphicFramePr>
        <xdr:cNvPr id="2" name="Chart 1">
          <a:extLst>
            <a:ext uri="{FF2B5EF4-FFF2-40B4-BE49-F238E27FC236}">
              <a16:creationId xmlns:a16="http://schemas.microsoft.com/office/drawing/2014/main" id="{25F50ECE-46A3-43A9-B482-91647225D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5</xdr:col>
      <xdr:colOff>611481</xdr:colOff>
      <xdr:row>13</xdr:row>
      <xdr:rowOff>152400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913C6CB-B653-4D96-844D-8D6C7EE1A0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70760" y="548640"/>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8</xdr:col>
      <xdr:colOff>116651</xdr:colOff>
      <xdr:row>32</xdr:row>
      <xdr:rowOff>0</xdr:rowOff>
    </xdr:to>
    <xdr:graphicFrame macro="">
      <xdr:nvGraphicFramePr>
        <xdr:cNvPr id="2" name="Chart 1">
          <a:extLst>
            <a:ext uri="{FF2B5EF4-FFF2-40B4-BE49-F238E27FC236}">
              <a16:creationId xmlns:a16="http://schemas.microsoft.com/office/drawing/2014/main" id="{2A97B6FB-3C08-4015-99B0-A74702951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267368</xdr:colOff>
      <xdr:row>1</xdr:row>
      <xdr:rowOff>17722</xdr:rowOff>
    </xdr:from>
    <xdr:to>
      <xdr:col>18</xdr:col>
      <xdr:colOff>173789</xdr:colOff>
      <xdr:row>11</xdr:row>
      <xdr:rowOff>97465</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77A63BE1-8CEC-44ED-A773-95019293DE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56626" y="202077"/>
              <a:ext cx="1749969" cy="1935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267368</xdr:colOff>
      <xdr:row>0</xdr:row>
      <xdr:rowOff>146120</xdr:rowOff>
    </xdr:from>
    <xdr:to>
      <xdr:col>12</xdr:col>
      <xdr:colOff>377615</xdr:colOff>
      <xdr:row>4</xdr:row>
      <xdr:rowOff>30934</xdr:rowOff>
    </xdr:to>
    <xdr:sp macro="" textlink="">
      <xdr:nvSpPr>
        <xdr:cNvPr id="2" name="Rectangle: Rounded Corners 1">
          <a:extLst>
            <a:ext uri="{FF2B5EF4-FFF2-40B4-BE49-F238E27FC236}">
              <a16:creationId xmlns:a16="http://schemas.microsoft.com/office/drawing/2014/main" id="{E738B96D-A4DA-1FA5-398B-F45A7DCD2C99}"/>
            </a:ext>
          </a:extLst>
        </xdr:cNvPr>
        <xdr:cNvSpPr/>
      </xdr:nvSpPr>
      <xdr:spPr>
        <a:xfrm>
          <a:off x="267368" y="146120"/>
          <a:ext cx="6954879" cy="633446"/>
        </a:xfrm>
        <a:prstGeom prst="roundRect">
          <a:avLst/>
        </a:prstGeom>
        <a:solidFill>
          <a:schemeClr val="accent1">
            <a:lumMod val="7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IN" sz="2800">
              <a:solidFill>
                <a:schemeClr val="bg1"/>
              </a:solidFill>
            </a:rPr>
            <a:t>Retail</a:t>
          </a:r>
          <a:r>
            <a:rPr lang="en-IN" sz="2800" baseline="0">
              <a:solidFill>
                <a:schemeClr val="bg1"/>
              </a:solidFill>
            </a:rPr>
            <a:t> Sales Analysis Dashboard</a:t>
          </a:r>
          <a:endParaRPr lang="en-IN" sz="2800">
            <a:solidFill>
              <a:schemeClr val="bg1"/>
            </a:solidFill>
          </a:endParaRPr>
        </a:p>
      </xdr:txBody>
    </xdr:sp>
    <xdr:clientData/>
  </xdr:twoCellAnchor>
  <xdr:twoCellAnchor>
    <xdr:from>
      <xdr:col>3</xdr:col>
      <xdr:colOff>600003</xdr:colOff>
      <xdr:row>4</xdr:row>
      <xdr:rowOff>105659</xdr:rowOff>
    </xdr:from>
    <xdr:to>
      <xdr:col>6</xdr:col>
      <xdr:colOff>467892</xdr:colOff>
      <xdr:row>9</xdr:row>
      <xdr:rowOff>172121</xdr:rowOff>
    </xdr:to>
    <xdr:sp macro="" textlink="T14">
      <xdr:nvSpPr>
        <xdr:cNvPr id="9" name="Rectangle: Rounded Corners 8">
          <a:extLst>
            <a:ext uri="{FF2B5EF4-FFF2-40B4-BE49-F238E27FC236}">
              <a16:creationId xmlns:a16="http://schemas.microsoft.com/office/drawing/2014/main" id="{55BD0C3B-64EA-4996-854D-314B77B57889}"/>
            </a:ext>
          </a:extLst>
        </xdr:cNvPr>
        <xdr:cNvSpPr/>
      </xdr:nvSpPr>
      <xdr:spPr>
        <a:xfrm>
          <a:off x="1902777" y="826691"/>
          <a:ext cx="1686857" cy="975946"/>
        </a:xfrm>
        <a:prstGeom prst="roundRect">
          <a:avLst/>
        </a:prstGeom>
        <a:solidFill>
          <a:srgbClr val="F2DDD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i="0" u="none" strike="noStrike">
            <a:solidFill>
              <a:srgbClr val="000000"/>
            </a:solidFill>
            <a:latin typeface="Calibri"/>
            <a:ea typeface="Calibri"/>
            <a:cs typeface="Calibri"/>
          </a:endParaRPr>
        </a:p>
        <a:p>
          <a:pPr algn="ctr"/>
          <a:endParaRPr lang="en-US" sz="1300" b="1" i="0" u="none" strike="noStrike">
            <a:solidFill>
              <a:srgbClr val="000000"/>
            </a:solidFill>
            <a:latin typeface="Calibri"/>
            <a:ea typeface="Calibri"/>
            <a:cs typeface="Calibri"/>
          </a:endParaRPr>
        </a:p>
        <a:p>
          <a:pPr algn="ctr"/>
          <a:fld id="{825D17E7-7561-4BF1-BAD4-10FC57927FD2}" type="TxLink">
            <a:rPr lang="en-US" sz="1300" b="1" i="0" u="none" strike="noStrike">
              <a:solidFill>
                <a:srgbClr val="000000"/>
              </a:solidFill>
              <a:latin typeface="Calibri"/>
              <a:ea typeface="Calibri"/>
              <a:cs typeface="Calibri"/>
            </a:rPr>
            <a:pPr algn="ctr"/>
            <a:t>₹73,47,327.56</a:t>
          </a:fld>
          <a:endParaRPr lang="en-IN" sz="1300" b="1">
            <a:solidFill>
              <a:schemeClr val="tx1"/>
            </a:solidFill>
          </a:endParaRPr>
        </a:p>
      </xdr:txBody>
    </xdr:sp>
    <xdr:clientData/>
  </xdr:twoCellAnchor>
  <xdr:twoCellAnchor>
    <xdr:from>
      <xdr:col>6</xdr:col>
      <xdr:colOff>575147</xdr:colOff>
      <xdr:row>4</xdr:row>
      <xdr:rowOff>106327</xdr:rowOff>
    </xdr:from>
    <xdr:to>
      <xdr:col>9</xdr:col>
      <xdr:colOff>422747</xdr:colOff>
      <xdr:row>9</xdr:row>
      <xdr:rowOff>181174</xdr:rowOff>
    </xdr:to>
    <xdr:sp macro="" textlink="T15">
      <xdr:nvSpPr>
        <xdr:cNvPr id="10" name="Rectangle: Rounded Corners 9">
          <a:extLst>
            <a:ext uri="{FF2B5EF4-FFF2-40B4-BE49-F238E27FC236}">
              <a16:creationId xmlns:a16="http://schemas.microsoft.com/office/drawing/2014/main" id="{EBC689CD-4C51-4548-B83E-E5D8E489F0E5}"/>
            </a:ext>
          </a:extLst>
        </xdr:cNvPr>
        <xdr:cNvSpPr/>
      </xdr:nvSpPr>
      <xdr:spPr>
        <a:xfrm>
          <a:off x="4243380" y="850606"/>
          <a:ext cx="1681716" cy="1014056"/>
        </a:xfrm>
        <a:prstGeom prst="round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i="0" u="none" strike="noStrike">
            <a:solidFill>
              <a:srgbClr val="000000"/>
            </a:solidFill>
            <a:latin typeface="Calibri"/>
            <a:ea typeface="Calibri"/>
            <a:cs typeface="Calibri"/>
          </a:endParaRPr>
        </a:p>
        <a:p>
          <a:pPr algn="ctr"/>
          <a:endParaRPr lang="en-US" sz="1300" b="1" i="0" u="none" strike="noStrike">
            <a:solidFill>
              <a:srgbClr val="000000"/>
            </a:solidFill>
            <a:latin typeface="Calibri"/>
            <a:ea typeface="Calibri"/>
            <a:cs typeface="Calibri"/>
          </a:endParaRPr>
        </a:p>
        <a:p>
          <a:pPr algn="ctr"/>
          <a:fld id="{457DFB49-7DA5-4D41-80A9-CD471E78E138}" type="TxLink">
            <a:rPr lang="en-US" sz="1300" b="1" i="0" u="none" strike="noStrike">
              <a:solidFill>
                <a:srgbClr val="000000"/>
              </a:solidFill>
              <a:latin typeface="Calibri"/>
              <a:ea typeface="Calibri"/>
              <a:cs typeface="Calibri"/>
            </a:rPr>
            <a:pPr algn="ctr"/>
            <a:t>5,188</a:t>
          </a:fld>
          <a:endParaRPr lang="en-IN" sz="1300" b="1">
            <a:solidFill>
              <a:schemeClr val="tx1"/>
            </a:solidFill>
          </a:endParaRPr>
        </a:p>
      </xdr:txBody>
    </xdr:sp>
    <xdr:clientData/>
  </xdr:twoCellAnchor>
  <xdr:twoCellAnchor>
    <xdr:from>
      <xdr:col>9</xdr:col>
      <xdr:colOff>520641</xdr:colOff>
      <xdr:row>4</xdr:row>
      <xdr:rowOff>97466</xdr:rowOff>
    </xdr:from>
    <xdr:to>
      <xdr:col>12</xdr:col>
      <xdr:colOff>353001</xdr:colOff>
      <xdr:row>10</xdr:row>
      <xdr:rowOff>29379</xdr:rowOff>
    </xdr:to>
    <xdr:sp macro="" textlink="T17">
      <xdr:nvSpPr>
        <xdr:cNvPr id="11" name="Rectangle: Rounded Corners 10">
          <a:extLst>
            <a:ext uri="{FF2B5EF4-FFF2-40B4-BE49-F238E27FC236}">
              <a16:creationId xmlns:a16="http://schemas.microsoft.com/office/drawing/2014/main" id="{314396F2-D2DA-40C7-87C0-F69A2AAEEDF7}"/>
            </a:ext>
          </a:extLst>
        </xdr:cNvPr>
        <xdr:cNvSpPr/>
      </xdr:nvSpPr>
      <xdr:spPr>
        <a:xfrm>
          <a:off x="6022990" y="841745"/>
          <a:ext cx="1666476" cy="1057192"/>
        </a:xfrm>
        <a:prstGeom prst="round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i="0" u="none" strike="noStrike">
            <a:solidFill>
              <a:srgbClr val="000000"/>
            </a:solidFill>
            <a:latin typeface="Calibri"/>
            <a:ea typeface="Calibri"/>
            <a:cs typeface="Calibri"/>
          </a:endParaRPr>
        </a:p>
        <a:p>
          <a:pPr algn="ctr"/>
          <a:endParaRPr lang="en-US" sz="1300" b="1" i="0" u="none" strike="noStrike">
            <a:solidFill>
              <a:srgbClr val="000000"/>
            </a:solidFill>
            <a:latin typeface="Calibri"/>
            <a:ea typeface="Calibri"/>
            <a:cs typeface="Calibri"/>
          </a:endParaRPr>
        </a:p>
        <a:p>
          <a:pPr algn="ctr"/>
          <a:fld id="{FD629021-D0DE-44B7-B474-86993CBDB04E}" type="TxLink">
            <a:rPr lang="en-US" sz="1300" b="1" i="0" u="none" strike="noStrike">
              <a:solidFill>
                <a:srgbClr val="000000"/>
              </a:solidFill>
              <a:latin typeface="Calibri"/>
              <a:ea typeface="Calibri"/>
              <a:cs typeface="Calibri"/>
            </a:rPr>
            <a:pPr algn="ctr"/>
            <a:t>995</a:t>
          </a:fld>
          <a:endParaRPr lang="en-IN" sz="1300" b="1">
            <a:solidFill>
              <a:schemeClr val="tx1"/>
            </a:solidFill>
          </a:endParaRPr>
        </a:p>
      </xdr:txBody>
    </xdr:sp>
    <xdr:clientData/>
  </xdr:twoCellAnchor>
  <xdr:twoCellAnchor>
    <xdr:from>
      <xdr:col>0</xdr:col>
      <xdr:colOff>280737</xdr:colOff>
      <xdr:row>11</xdr:row>
      <xdr:rowOff>166687</xdr:rowOff>
    </xdr:from>
    <xdr:to>
      <xdr:col>8</xdr:col>
      <xdr:colOff>280736</xdr:colOff>
      <xdr:row>25</xdr:row>
      <xdr:rowOff>83342</xdr:rowOff>
    </xdr:to>
    <xdr:graphicFrame macro="">
      <xdr:nvGraphicFramePr>
        <xdr:cNvPr id="12" name="Chart 11">
          <a:extLst>
            <a:ext uri="{FF2B5EF4-FFF2-40B4-BE49-F238E27FC236}">
              <a16:creationId xmlns:a16="http://schemas.microsoft.com/office/drawing/2014/main" id="{5AB9F37E-E06B-4EED-84DB-DED350730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387683</xdr:colOff>
      <xdr:row>11</xdr:row>
      <xdr:rowOff>173790</xdr:rowOff>
    </xdr:from>
    <xdr:to>
      <xdr:col>18</xdr:col>
      <xdr:colOff>160420</xdr:colOff>
      <xdr:row>25</xdr:row>
      <xdr:rowOff>95250</xdr:rowOff>
    </xdr:to>
    <xdr:graphicFrame macro="">
      <xdr:nvGraphicFramePr>
        <xdr:cNvPr id="13" name="Chart 12">
          <a:extLst>
            <a:ext uri="{FF2B5EF4-FFF2-40B4-BE49-F238E27FC236}">
              <a16:creationId xmlns:a16="http://schemas.microsoft.com/office/drawing/2014/main" id="{AAAC85BC-8EDD-4A78-AF5B-8C1644A4A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294105</xdr:colOff>
      <xdr:row>26</xdr:row>
      <xdr:rowOff>71438</xdr:rowOff>
    </xdr:from>
    <xdr:to>
      <xdr:col>8</xdr:col>
      <xdr:colOff>267369</xdr:colOff>
      <xdr:row>41</xdr:row>
      <xdr:rowOff>147053</xdr:rowOff>
    </xdr:to>
    <xdr:graphicFrame macro="">
      <xdr:nvGraphicFramePr>
        <xdr:cNvPr id="15" name="Chart 14">
          <a:extLst>
            <a:ext uri="{FF2B5EF4-FFF2-40B4-BE49-F238E27FC236}">
              <a16:creationId xmlns:a16="http://schemas.microsoft.com/office/drawing/2014/main" id="{6B445C29-E836-4C1B-93C2-4F4C5E69B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374316</xdr:colOff>
      <xdr:row>26</xdr:row>
      <xdr:rowOff>83344</xdr:rowOff>
    </xdr:from>
    <xdr:to>
      <xdr:col>18</xdr:col>
      <xdr:colOff>187158</xdr:colOff>
      <xdr:row>41</xdr:row>
      <xdr:rowOff>147053</xdr:rowOff>
    </xdr:to>
    <xdr:graphicFrame macro="">
      <xdr:nvGraphicFramePr>
        <xdr:cNvPr id="16" name="Chart 15">
          <a:extLst>
            <a:ext uri="{FF2B5EF4-FFF2-40B4-BE49-F238E27FC236}">
              <a16:creationId xmlns:a16="http://schemas.microsoft.com/office/drawing/2014/main" id="{91221DB4-FA3F-4515-A24D-C95914F6B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478464</xdr:colOff>
      <xdr:row>1</xdr:row>
      <xdr:rowOff>13369</xdr:rowOff>
    </xdr:from>
    <xdr:to>
      <xdr:col>15</xdr:col>
      <xdr:colOff>187158</xdr:colOff>
      <xdr:row>11</xdr:row>
      <xdr:rowOff>80210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4B8BE5AD-62F2-4E46-855A-7358EB7795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324174" y="197724"/>
              <a:ext cx="1552242" cy="192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280736</xdr:colOff>
      <xdr:row>4</xdr:row>
      <xdr:rowOff>88606</xdr:rowOff>
    </xdr:from>
    <xdr:to>
      <xdr:col>3</xdr:col>
      <xdr:colOff>499006</xdr:colOff>
      <xdr:row>9</xdr:row>
      <xdr:rowOff>174393</xdr:rowOff>
    </xdr:to>
    <xdr:sp macro="" textlink="T13">
      <xdr:nvSpPr>
        <xdr:cNvPr id="4" name="Rectangle: Rounded Corners 3">
          <a:extLst>
            <a:ext uri="{FF2B5EF4-FFF2-40B4-BE49-F238E27FC236}">
              <a16:creationId xmlns:a16="http://schemas.microsoft.com/office/drawing/2014/main" id="{E31A88B8-8856-4688-A257-5FA47F3A12CC}"/>
            </a:ext>
          </a:extLst>
        </xdr:cNvPr>
        <xdr:cNvSpPr/>
      </xdr:nvSpPr>
      <xdr:spPr>
        <a:xfrm>
          <a:off x="280736" y="837238"/>
          <a:ext cx="1528375" cy="1021576"/>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300" b="1" i="0" u="none" strike="noStrike">
            <a:solidFill>
              <a:srgbClr val="000000"/>
            </a:solidFill>
            <a:latin typeface="Calibri"/>
            <a:ea typeface="Calibri"/>
            <a:cs typeface="Calibri"/>
          </a:endParaRPr>
        </a:p>
        <a:p>
          <a:pPr algn="ctr"/>
          <a:endParaRPr lang="en-US" sz="1300" b="1" i="0" u="none" strike="noStrike">
            <a:solidFill>
              <a:srgbClr val="000000"/>
            </a:solidFill>
            <a:latin typeface="Calibri"/>
            <a:ea typeface="Calibri"/>
            <a:cs typeface="Calibri"/>
          </a:endParaRPr>
        </a:p>
        <a:p>
          <a:pPr algn="ctr"/>
          <a:fld id="{298FB141-F75A-4643-82BD-B0D7E604B9ED}" type="TxLink">
            <a:rPr lang="en-US" sz="1300" b="1" i="0" u="none" strike="noStrike">
              <a:solidFill>
                <a:srgbClr val="000000"/>
              </a:solidFill>
              <a:latin typeface="Calibri"/>
              <a:ea typeface="Calibri"/>
              <a:cs typeface="Calibri"/>
            </a:rPr>
            <a:pPr algn="ctr"/>
            <a:t>₹2,98,95,442.50</a:t>
          </a:fld>
          <a:endParaRPr lang="en-IN" sz="1300" b="1">
            <a:solidFill>
              <a:schemeClr val="tx1"/>
            </a:solidFill>
          </a:endParaRPr>
        </a:p>
      </xdr:txBody>
    </xdr:sp>
    <xdr:clientData/>
  </xdr:twoCellAnchor>
  <xdr:oneCellAnchor>
    <xdr:from>
      <xdr:col>2</xdr:col>
      <xdr:colOff>32774</xdr:colOff>
      <xdr:row>5</xdr:row>
      <xdr:rowOff>88604</xdr:rowOff>
    </xdr:from>
    <xdr:ext cx="1291723" cy="365923"/>
    <xdr:sp macro="" textlink="">
      <xdr:nvSpPr>
        <xdr:cNvPr id="6" name="TextBox 5">
          <a:extLst>
            <a:ext uri="{FF2B5EF4-FFF2-40B4-BE49-F238E27FC236}">
              <a16:creationId xmlns:a16="http://schemas.microsoft.com/office/drawing/2014/main" id="{5AEC88B3-4F9B-D54B-AF8E-365875FE1867}"/>
            </a:ext>
          </a:extLst>
        </xdr:cNvPr>
        <xdr:cNvSpPr txBox="1"/>
      </xdr:nvSpPr>
      <xdr:spPr>
        <a:xfrm>
          <a:off x="729226" y="989894"/>
          <a:ext cx="1291723" cy="365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t>Total Sales</a:t>
          </a:r>
        </a:p>
        <a:p>
          <a:pPr algn="ctr"/>
          <a:endParaRPr lang="en-IN" sz="1400" b="1"/>
        </a:p>
        <a:p>
          <a:pPr algn="ctr"/>
          <a:endParaRPr lang="en-IN" sz="1400" b="1"/>
        </a:p>
        <a:p>
          <a:pPr algn="ctr"/>
          <a:endParaRPr lang="en-IN" sz="1400" b="1"/>
        </a:p>
      </xdr:txBody>
    </xdr:sp>
    <xdr:clientData/>
  </xdr:oneCellAnchor>
  <xdr:oneCellAnchor>
    <xdr:from>
      <xdr:col>4</xdr:col>
      <xdr:colOff>130341</xdr:colOff>
      <xdr:row>5</xdr:row>
      <xdr:rowOff>53163</xdr:rowOff>
    </xdr:from>
    <xdr:ext cx="1516561" cy="434161"/>
    <xdr:sp macro="" textlink="">
      <xdr:nvSpPr>
        <xdr:cNvPr id="7" name="TextBox 6">
          <a:extLst>
            <a:ext uri="{FF2B5EF4-FFF2-40B4-BE49-F238E27FC236}">
              <a16:creationId xmlns:a16="http://schemas.microsoft.com/office/drawing/2014/main" id="{0B315404-02D4-4E43-A7D3-2EFE383DE660}"/>
            </a:ext>
          </a:extLst>
        </xdr:cNvPr>
        <xdr:cNvSpPr txBox="1"/>
      </xdr:nvSpPr>
      <xdr:spPr>
        <a:xfrm>
          <a:off x="2039438" y="954453"/>
          <a:ext cx="1516561" cy="4341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         Total Profit</a:t>
          </a:r>
        </a:p>
        <a:p>
          <a:pPr algn="ctr"/>
          <a:endParaRPr lang="en-IN" sz="1400" b="1"/>
        </a:p>
      </xdr:txBody>
    </xdr:sp>
    <xdr:clientData/>
  </xdr:oneCellAnchor>
  <xdr:oneCellAnchor>
    <xdr:from>
      <xdr:col>7</xdr:col>
      <xdr:colOff>190500</xdr:colOff>
      <xdr:row>5</xdr:row>
      <xdr:rowOff>62023</xdr:rowOff>
    </xdr:from>
    <xdr:ext cx="1383632" cy="451883"/>
    <xdr:sp macro="" textlink="">
      <xdr:nvSpPr>
        <xdr:cNvPr id="8" name="TextBox 7">
          <a:extLst>
            <a:ext uri="{FF2B5EF4-FFF2-40B4-BE49-F238E27FC236}">
              <a16:creationId xmlns:a16="http://schemas.microsoft.com/office/drawing/2014/main" id="{7A822030-E399-4397-9891-E8AA3E369402}"/>
            </a:ext>
          </a:extLst>
        </xdr:cNvPr>
        <xdr:cNvSpPr txBox="1"/>
      </xdr:nvSpPr>
      <xdr:spPr>
        <a:xfrm>
          <a:off x="4470105" y="992372"/>
          <a:ext cx="1383632" cy="451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   Total Quantity</a:t>
          </a:r>
        </a:p>
      </xdr:txBody>
    </xdr:sp>
    <xdr:clientData/>
  </xdr:oneCellAnchor>
  <xdr:oneCellAnchor>
    <xdr:from>
      <xdr:col>10</xdr:col>
      <xdr:colOff>43714</xdr:colOff>
      <xdr:row>5</xdr:row>
      <xdr:rowOff>44302</xdr:rowOff>
    </xdr:from>
    <xdr:ext cx="1383632" cy="505047"/>
    <xdr:sp macro="" textlink="">
      <xdr:nvSpPr>
        <xdr:cNvPr id="14" name="TextBox 13">
          <a:extLst>
            <a:ext uri="{FF2B5EF4-FFF2-40B4-BE49-F238E27FC236}">
              <a16:creationId xmlns:a16="http://schemas.microsoft.com/office/drawing/2014/main" id="{7EB25E50-8CFC-4B84-A872-E7BCA732B1E6}"/>
            </a:ext>
          </a:extLst>
        </xdr:cNvPr>
        <xdr:cNvSpPr txBox="1"/>
      </xdr:nvSpPr>
      <xdr:spPr>
        <a:xfrm>
          <a:off x="6157435" y="974651"/>
          <a:ext cx="1383632" cy="505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t>      Total Orders</a:t>
          </a:r>
        </a:p>
      </xdr:txBody>
    </xdr:sp>
    <xdr:clientData/>
  </xdr:oneCellAnchor>
  <xdr:twoCellAnchor editAs="oneCell">
    <xdr:from>
      <xdr:col>0</xdr:col>
      <xdr:colOff>335934</xdr:colOff>
      <xdr:row>4</xdr:row>
      <xdr:rowOff>155679</xdr:rowOff>
    </xdr:from>
    <xdr:to>
      <xdr:col>2</xdr:col>
      <xdr:colOff>98321</xdr:colOff>
      <xdr:row>7</xdr:row>
      <xdr:rowOff>57787</xdr:rowOff>
    </xdr:to>
    <xdr:pic>
      <xdr:nvPicPr>
        <xdr:cNvPr id="21" name="Graphic 20" descr="Bar chart with solid fill">
          <a:extLst>
            <a:ext uri="{FF2B5EF4-FFF2-40B4-BE49-F238E27FC236}">
              <a16:creationId xmlns:a16="http://schemas.microsoft.com/office/drawing/2014/main" id="{CF8F79EC-B330-49D2-A3EB-AE3E8B8E9C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934" y="876711"/>
          <a:ext cx="458839" cy="451076"/>
        </a:xfrm>
        <a:prstGeom prst="rect">
          <a:avLst/>
        </a:prstGeom>
      </xdr:spPr>
    </xdr:pic>
    <xdr:clientData/>
  </xdr:twoCellAnchor>
  <xdr:twoCellAnchor editAs="oneCell">
    <xdr:from>
      <xdr:col>4</xdr:col>
      <xdr:colOff>81935</xdr:colOff>
      <xdr:row>5</xdr:row>
      <xdr:rowOff>0</xdr:rowOff>
    </xdr:from>
    <xdr:to>
      <xdr:col>4</xdr:col>
      <xdr:colOff>581742</xdr:colOff>
      <xdr:row>7</xdr:row>
      <xdr:rowOff>40969</xdr:rowOff>
    </xdr:to>
    <xdr:pic>
      <xdr:nvPicPr>
        <xdr:cNvPr id="24" name="Graphic 23" descr="Coins with solid fill">
          <a:extLst>
            <a:ext uri="{FF2B5EF4-FFF2-40B4-BE49-F238E27FC236}">
              <a16:creationId xmlns:a16="http://schemas.microsoft.com/office/drawing/2014/main" id="{E1CB7719-6B2E-434B-AC50-D201FB2D32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91032" y="901290"/>
          <a:ext cx="499807" cy="409679"/>
        </a:xfrm>
        <a:prstGeom prst="rect">
          <a:avLst/>
        </a:prstGeom>
      </xdr:spPr>
    </xdr:pic>
    <xdr:clientData/>
  </xdr:twoCellAnchor>
  <xdr:twoCellAnchor editAs="oneCell">
    <xdr:from>
      <xdr:col>10</xdr:col>
      <xdr:colOff>0</xdr:colOff>
      <xdr:row>5</xdr:row>
      <xdr:rowOff>73360</xdr:rowOff>
    </xdr:from>
    <xdr:to>
      <xdr:col>10</xdr:col>
      <xdr:colOff>426065</xdr:colOff>
      <xdr:row>7</xdr:row>
      <xdr:rowOff>98323</xdr:rowOff>
    </xdr:to>
    <xdr:pic>
      <xdr:nvPicPr>
        <xdr:cNvPr id="27" name="Graphic 26" descr="Shopping cart with solid fill">
          <a:extLst>
            <a:ext uri="{FF2B5EF4-FFF2-40B4-BE49-F238E27FC236}">
              <a16:creationId xmlns:a16="http://schemas.microsoft.com/office/drawing/2014/main" id="{FB1F6B94-A5C6-4A4F-92A2-5B0C728BE0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547032" y="974650"/>
          <a:ext cx="426065" cy="393673"/>
        </a:xfrm>
        <a:prstGeom prst="rect">
          <a:avLst/>
        </a:prstGeom>
      </xdr:spPr>
    </xdr:pic>
    <xdr:clientData/>
  </xdr:twoCellAnchor>
  <xdr:twoCellAnchor editAs="oneCell">
    <xdr:from>
      <xdr:col>7</xdr:col>
      <xdr:colOff>63501</xdr:colOff>
      <xdr:row>5</xdr:row>
      <xdr:rowOff>117928</xdr:rowOff>
    </xdr:from>
    <xdr:to>
      <xdr:col>7</xdr:col>
      <xdr:colOff>399144</xdr:colOff>
      <xdr:row>7</xdr:row>
      <xdr:rowOff>108858</xdr:rowOff>
    </xdr:to>
    <xdr:pic>
      <xdr:nvPicPr>
        <xdr:cNvPr id="33" name="Picture 32">
          <a:extLst>
            <a:ext uri="{FF2B5EF4-FFF2-40B4-BE49-F238E27FC236}">
              <a16:creationId xmlns:a16="http://schemas.microsoft.com/office/drawing/2014/main" id="{C9E0CD00-CA92-44D2-A69C-089799A49C9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791858" y="1025071"/>
          <a:ext cx="335643" cy="3628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9</xdr:col>
      <xdr:colOff>548640</xdr:colOff>
      <xdr:row>17</xdr:row>
      <xdr:rowOff>0</xdr:rowOff>
    </xdr:to>
    <xdr:graphicFrame macro="">
      <xdr:nvGraphicFramePr>
        <xdr:cNvPr id="7" name="Chart 6">
          <a:extLst>
            <a:ext uri="{FF2B5EF4-FFF2-40B4-BE49-F238E27FC236}">
              <a16:creationId xmlns:a16="http://schemas.microsoft.com/office/drawing/2014/main" id="{9AB0DFD8-CBAC-473F-8BC7-602E35392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0</xdr:rowOff>
    </xdr:from>
    <xdr:to>
      <xdr:col>14</xdr:col>
      <xdr:colOff>0</xdr:colOff>
      <xdr:row>13</xdr:row>
      <xdr:rowOff>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7B72C551-AF64-48F2-BA1A-EBFE8F93BE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25640" y="731520"/>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236220</xdr:colOff>
      <xdr:row>18</xdr:row>
      <xdr:rowOff>15240</xdr:rowOff>
    </xdr:to>
    <xdr:graphicFrame macro="">
      <xdr:nvGraphicFramePr>
        <xdr:cNvPr id="4" name="Chart 3">
          <a:extLst>
            <a:ext uri="{FF2B5EF4-FFF2-40B4-BE49-F238E27FC236}">
              <a16:creationId xmlns:a16="http://schemas.microsoft.com/office/drawing/2014/main" id="{4D0A9403-8541-43DA-8438-73CDD3F31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hnavi" refreshedDate="46317.429176041667" createdVersion="8" refreshedVersion="8" minRefreshableVersion="3" recordCount="995" xr:uid="{739AFA3A-83F1-4A31-81D8-D5F55AEC14B3}">
  <cacheSource type="worksheet">
    <worksheetSource name="SalesData"/>
  </cacheSource>
  <cacheFields count="14">
    <cacheField name="Order_ID" numFmtId="0">
      <sharedItems/>
    </cacheField>
    <cacheField name="Order_Date" numFmtId="14">
      <sharedItems containsSemiMixedTypes="0" containsNonDate="0" containsDate="1" containsString="0" minDate="2025-01-01T00:00:00" maxDate="2026-01-01T00:00:00" count="341">
        <d v="2025-04-25T00:00:00"/>
        <d v="2025-02-26T00:00:00"/>
        <d v="2025-06-28T00:00:00"/>
        <d v="2025-08-23T00:00:00"/>
        <d v="2025-10-27T00:00:00"/>
        <d v="2025-09-03T00:00:00"/>
        <d v="2025-11-15T00:00:00"/>
        <d v="2025-10-07T00:00:00"/>
        <d v="2025-08-10T00:00:00"/>
        <d v="2025-09-25T00:00:00"/>
        <d v="2025-08-11T00:00:00"/>
        <d v="2025-09-21T00:00:00"/>
        <d v="2025-02-19T00:00:00"/>
        <d v="2025-02-12T00:00:00"/>
        <d v="2025-11-22T00:00:00"/>
        <d v="2025-10-28T00:00:00"/>
        <d v="2025-07-19T00:00:00"/>
        <d v="2025-08-19T00:00:00"/>
        <d v="2025-06-22T00:00:00"/>
        <d v="2025-01-24T00:00:00"/>
        <d v="2025-09-22T00:00:00"/>
        <d v="2025-07-16T00:00:00"/>
        <d v="2025-05-28T00:00:00"/>
        <d v="2025-02-18T00:00:00"/>
        <d v="2025-12-10T00:00:00"/>
        <d v="2025-05-16T00:00:00"/>
        <d v="2025-11-19T00:00:00"/>
        <d v="2025-05-12T00:00:00"/>
        <d v="2025-07-26T00:00:00"/>
        <d v="2025-05-09T00:00:00"/>
        <d v="2025-03-04T00:00:00"/>
        <d v="2025-02-27T00:00:00"/>
        <d v="2025-12-02T00:00:00"/>
        <d v="2025-12-06T00:00:00"/>
        <d v="2025-03-17T00:00:00"/>
        <d v="2025-11-17T00:00:00"/>
        <d v="2025-06-12T00:00:00"/>
        <d v="2025-07-24T00:00:00"/>
        <d v="2025-10-08T00:00:00"/>
        <d v="2025-01-03T00:00:00"/>
        <d v="2025-06-07T00:00:00"/>
        <d v="2025-06-20T00:00:00"/>
        <d v="2025-05-30T00:00:00"/>
        <d v="2025-11-07T00:00:00"/>
        <d v="2025-03-01T00:00:00"/>
        <d v="2025-11-03T00:00:00"/>
        <d v="2025-07-15T00:00:00"/>
        <d v="2025-07-03T00:00:00"/>
        <d v="2025-12-05T00:00:00"/>
        <d v="2025-06-10T00:00:00"/>
        <d v="2025-04-19T00:00:00"/>
        <d v="2025-08-16T00:00:00"/>
        <d v="2025-05-31T00:00:00"/>
        <d v="2025-03-30T00:00:00"/>
        <d v="2025-09-01T00:00:00"/>
        <d v="2025-01-10T00:00:00"/>
        <d v="2025-01-06T00:00:00"/>
        <d v="2025-02-13T00:00:00"/>
        <d v="2025-09-20T00:00:00"/>
        <d v="2025-08-27T00:00:00"/>
        <d v="2025-02-03T00:00:00"/>
        <d v="2025-11-02T00:00:00"/>
        <d v="2025-03-31T00:00:00"/>
        <d v="2025-08-08T00:00:00"/>
        <d v="2025-06-16T00:00:00"/>
        <d v="2025-03-15T00:00:00"/>
        <d v="2025-04-02T00:00:00"/>
        <d v="2025-04-06T00:00:00"/>
        <d v="2025-02-17T00:00:00"/>
        <d v="2025-02-16T00:00:00"/>
        <d v="2025-07-10T00:00:00"/>
        <d v="2025-08-14T00:00:00"/>
        <d v="2025-12-14T00:00:00"/>
        <d v="2025-05-20T00:00:00"/>
        <d v="2025-11-08T00:00:00"/>
        <d v="2025-09-27T00:00:00"/>
        <d v="2025-08-20T00:00:00"/>
        <d v="2025-01-14T00:00:00"/>
        <d v="2025-11-05T00:00:00"/>
        <d v="2025-08-28T00:00:00"/>
        <d v="2025-04-07T00:00:00"/>
        <d v="2025-01-18T00:00:00"/>
        <d v="2025-10-25T00:00:00"/>
        <d v="2025-10-11T00:00:00"/>
        <d v="2025-01-27T00:00:00"/>
        <d v="2025-04-22T00:00:00"/>
        <d v="2025-04-08T00:00:00"/>
        <d v="2025-11-27T00:00:00"/>
        <d v="2025-10-04T00:00:00"/>
        <d v="2025-01-08T00:00:00"/>
        <d v="2025-04-13T00:00:00"/>
        <d v="2025-03-08T00:00:00"/>
        <d v="2025-01-01T00:00:00"/>
        <d v="2025-12-16T00:00:00"/>
        <d v="2025-11-01T00:00:00"/>
        <d v="2025-09-02T00:00:00"/>
        <d v="2025-01-11T00:00:00"/>
        <d v="2025-08-17T00:00:00"/>
        <d v="2025-12-24T00:00:00"/>
        <d v="2025-06-21T00:00:00"/>
        <d v="2025-05-05T00:00:00"/>
        <d v="2025-07-21T00:00:00"/>
        <d v="2025-01-02T00:00:00"/>
        <d v="2025-02-20T00:00:00"/>
        <d v="2025-09-12T00:00:00"/>
        <d v="2025-05-11T00:00:00"/>
        <d v="2025-11-21T00:00:00"/>
        <d v="2025-11-06T00:00:00"/>
        <d v="2025-05-29T00:00:00"/>
        <d v="2025-11-23T00:00:00"/>
        <d v="2025-06-29T00:00:00"/>
        <d v="2025-12-30T00:00:00"/>
        <d v="2025-11-13T00:00:00"/>
        <d v="2025-12-22T00:00:00"/>
        <d v="2025-01-13T00:00:00"/>
        <d v="2025-10-02T00:00:00"/>
        <d v="2025-09-26T00:00:00"/>
        <d v="2025-07-17T00:00:00"/>
        <d v="2025-04-23T00:00:00"/>
        <d v="2025-12-20T00:00:00"/>
        <d v="2025-03-03T00:00:00"/>
        <d v="2025-08-31T00:00:00"/>
        <d v="2025-04-26T00:00:00"/>
        <d v="2025-02-22T00:00:00"/>
        <d v="2025-12-26T00:00:00"/>
        <d v="2025-01-16T00:00:00"/>
        <d v="2025-12-17T00:00:00"/>
        <d v="2025-10-12T00:00:00"/>
        <d v="2025-11-26T00:00:00"/>
        <d v="2025-07-02T00:00:00"/>
        <d v="2025-08-24T00:00:00"/>
        <d v="2025-03-09T00:00:00"/>
        <d v="2025-10-21T00:00:00"/>
        <d v="2025-01-22T00:00:00"/>
        <d v="2025-12-11T00:00:00"/>
        <d v="2025-09-23T00:00:00"/>
        <d v="2025-02-25T00:00:00"/>
        <d v="2025-09-19T00:00:00"/>
        <d v="2025-10-30T00:00:00"/>
        <d v="2025-03-18T00:00:00"/>
        <d v="2025-09-07T00:00:00"/>
        <d v="2025-10-06T00:00:00"/>
        <d v="2025-03-02T00:00:00"/>
        <d v="2025-07-28T00:00:00"/>
        <d v="2025-03-10T00:00:00"/>
        <d v="2025-10-05T00:00:00"/>
        <d v="2025-08-12T00:00:00"/>
        <d v="2025-02-01T00:00:00"/>
        <d v="2025-10-24T00:00:00"/>
        <d v="2025-06-13T00:00:00"/>
        <d v="2025-01-28T00:00:00"/>
        <d v="2025-05-19T00:00:00"/>
        <d v="2025-04-10T00:00:00"/>
        <d v="2025-07-08T00:00:00"/>
        <d v="2025-10-18T00:00:00"/>
        <d v="2025-02-28T00:00:00"/>
        <d v="2025-09-30T00:00:00"/>
        <d v="2025-07-18T00:00:00"/>
        <d v="2025-02-06T00:00:00"/>
        <d v="2025-01-21T00:00:00"/>
        <d v="2025-07-05T00:00:00"/>
        <d v="2025-08-07T00:00:00"/>
        <d v="2025-07-25T00:00:00"/>
        <d v="2025-05-06T00:00:00"/>
        <d v="2025-07-01T00:00:00"/>
        <d v="2025-07-29T00:00:00"/>
        <d v="2025-01-07T00:00:00"/>
        <d v="2025-09-13T00:00:00"/>
        <d v="2025-08-13T00:00:00"/>
        <d v="2025-04-21T00:00:00"/>
        <d v="2025-07-22T00:00:00"/>
        <d v="2025-03-07T00:00:00"/>
        <d v="2025-06-14T00:00:00"/>
        <d v="2025-06-17T00:00:00"/>
        <d v="2025-01-20T00:00:00"/>
        <d v="2025-05-26T00:00:00"/>
        <d v="2025-03-12T00:00:00"/>
        <d v="2025-08-04T00:00:00"/>
        <d v="2025-01-12T00:00:00"/>
        <d v="2025-12-03T00:00:00"/>
        <d v="2025-11-11T00:00:00"/>
        <d v="2025-05-22T00:00:00"/>
        <d v="2025-09-11T00:00:00"/>
        <d v="2025-05-10T00:00:00"/>
        <d v="2025-11-28T00:00:00"/>
        <d v="2025-06-23T00:00:00"/>
        <d v="2025-05-14T00:00:00"/>
        <d v="2025-08-15T00:00:00"/>
        <d v="2025-05-24T00:00:00"/>
        <d v="2025-10-09T00:00:00"/>
        <d v="2025-04-16T00:00:00"/>
        <d v="2025-07-06T00:00:00"/>
        <d v="2025-01-31T00:00:00"/>
        <d v="2025-04-24T00:00:00"/>
        <d v="2025-01-25T00:00:00"/>
        <d v="2025-11-12T00:00:00"/>
        <d v="2025-05-15T00:00:00"/>
        <d v="2025-07-04T00:00:00"/>
        <d v="2025-07-31T00:00:00"/>
        <d v="2025-10-13T00:00:00"/>
        <d v="2025-12-18T00:00:00"/>
        <d v="2025-09-05T00:00:00"/>
        <d v="2025-12-31T00:00:00"/>
        <d v="2025-08-18T00:00:00"/>
        <d v="2025-12-07T00:00:00"/>
        <d v="2025-12-09T00:00:00"/>
        <d v="2025-01-04T00:00:00"/>
        <d v="2025-08-03T00:00:00"/>
        <d v="2025-06-26T00:00:00"/>
        <d v="2025-03-27T00:00:00"/>
        <d v="2025-10-22T00:00:00"/>
        <d v="2025-04-03T00:00:00"/>
        <d v="2025-09-16T00:00:00"/>
        <d v="2025-12-28T00:00:00"/>
        <d v="2025-11-09T00:00:00"/>
        <d v="2025-01-17T00:00:00"/>
        <d v="2025-03-24T00:00:00"/>
        <d v="2025-09-10T00:00:00"/>
        <d v="2025-08-06T00:00:00"/>
        <d v="2025-08-30T00:00:00"/>
        <d v="2025-10-16T00:00:00"/>
        <d v="2025-10-10T00:00:00"/>
        <d v="2025-08-05T00:00:00"/>
        <d v="2025-11-16T00:00:00"/>
        <d v="2025-03-21T00:00:00"/>
        <d v="2025-12-15T00:00:00"/>
        <d v="2025-02-15T00:00:00"/>
        <d v="2025-11-20T00:00:00"/>
        <d v="2025-08-02T00:00:00"/>
        <d v="2025-06-15T00:00:00"/>
        <d v="2025-04-11T00:00:00"/>
        <d v="2025-06-24T00:00:00"/>
        <d v="2025-11-18T00:00:00"/>
        <d v="2025-12-25T00:00:00"/>
        <d v="2025-02-09T00:00:00"/>
        <d v="2025-02-21T00:00:00"/>
        <d v="2025-03-14T00:00:00"/>
        <d v="2025-04-04T00:00:00"/>
        <d v="2025-10-15T00:00:00"/>
        <d v="2025-09-29T00:00:00"/>
        <d v="2025-09-18T00:00:00"/>
        <d v="2025-01-05T00:00:00"/>
        <d v="2025-10-01T00:00:00"/>
        <d v="2025-07-11T00:00:00"/>
        <d v="2025-10-31T00:00:00"/>
        <d v="2025-11-10T00:00:00"/>
        <d v="2025-04-15T00:00:00"/>
        <d v="2025-12-08T00:00:00"/>
        <d v="2025-04-27T00:00:00"/>
        <d v="2025-11-04T00:00:00"/>
        <d v="2025-06-08T00:00:00"/>
        <d v="2025-05-17T00:00:00"/>
        <d v="2025-10-23T00:00:00"/>
        <d v="2025-11-24T00:00:00"/>
        <d v="2025-02-08T00:00:00"/>
        <d v="2025-09-17T00:00:00"/>
        <d v="2025-06-06T00:00:00"/>
        <d v="2025-02-02T00:00:00"/>
        <d v="2025-02-07T00:00:00"/>
        <d v="2025-04-12T00:00:00"/>
        <d v="2025-07-27T00:00:00"/>
        <d v="2025-03-13T00:00:00"/>
        <d v="2025-07-09T00:00:00"/>
        <d v="2025-08-01T00:00:00"/>
        <d v="2025-03-26T00:00:00"/>
        <d v="2025-03-29T00:00:00"/>
        <d v="2025-08-26T00:00:00"/>
        <d v="2025-09-14T00:00:00"/>
        <d v="2025-10-14T00:00:00"/>
        <d v="2025-05-27T00:00:00"/>
        <d v="2025-08-21T00:00:00"/>
        <d v="2025-08-25T00:00:00"/>
        <d v="2025-06-01T00:00:00"/>
        <d v="2025-01-30T00:00:00"/>
        <d v="2025-07-12T00:00:00"/>
        <d v="2025-01-19T00:00:00"/>
        <d v="2025-10-26T00:00:00"/>
        <d v="2025-01-15T00:00:00"/>
        <d v="2025-06-05T00:00:00"/>
        <d v="2025-04-14T00:00:00"/>
        <d v="2025-12-01T00:00:00"/>
        <d v="2025-06-25T00:00:00"/>
        <d v="2025-09-28T00:00:00"/>
        <d v="2025-01-23T00:00:00"/>
        <d v="2025-07-23T00:00:00"/>
        <d v="2025-03-11T00:00:00"/>
        <d v="2025-11-25T00:00:00"/>
        <d v="2025-12-13T00:00:00"/>
        <d v="2025-12-29T00:00:00"/>
        <d v="2025-10-20T00:00:00"/>
        <d v="2025-09-24T00:00:00"/>
        <d v="2025-12-12T00:00:00"/>
        <d v="2025-05-21T00:00:00"/>
        <d v="2025-01-29T00:00:00"/>
        <d v="2025-05-02T00:00:00"/>
        <d v="2025-05-13T00:00:00"/>
        <d v="2025-02-23T00:00:00"/>
        <d v="2025-01-26T00:00:00"/>
        <d v="2025-10-03T00:00:00"/>
        <d v="2025-03-06T00:00:00"/>
        <d v="2025-04-09T00:00:00"/>
        <d v="2025-09-08T00:00:00"/>
        <d v="2025-08-09T00:00:00"/>
        <d v="2025-07-13T00:00:00"/>
        <d v="2025-03-05T00:00:00"/>
        <d v="2025-07-07T00:00:00"/>
        <d v="2025-09-15T00:00:00"/>
        <d v="2025-04-05T00:00:00"/>
        <d v="2025-03-25T00:00:00"/>
        <d v="2025-10-19T00:00:00"/>
        <d v="2025-07-20T00:00:00"/>
        <d v="2025-04-28T00:00:00"/>
        <d v="2025-02-24T00:00:00"/>
        <d v="2025-10-17T00:00:00"/>
        <d v="2025-07-14T00:00:00"/>
        <d v="2025-11-29T00:00:00"/>
        <d v="2025-02-10T00:00:00"/>
        <d v="2025-04-17T00:00:00"/>
        <d v="2025-03-16T00:00:00"/>
        <d v="2025-05-01T00:00:00"/>
        <d v="2025-03-19T00:00:00"/>
        <d v="2025-12-23T00:00:00"/>
        <d v="2025-05-04T00:00:00"/>
        <d v="2025-12-04T00:00:00"/>
        <d v="2025-06-03T00:00:00"/>
        <d v="2025-08-29T00:00:00"/>
        <d v="2025-04-20T00:00:00"/>
        <d v="2025-06-27T00:00:00"/>
        <d v="2025-10-29T00:00:00"/>
        <d v="2025-03-22T00:00:00"/>
        <d v="2025-08-22T00:00:00"/>
        <d v="2025-06-18T00:00:00"/>
        <d v="2025-04-01T00:00:00"/>
        <d v="2025-02-05T00:00:00"/>
        <d v="2025-03-20T00:00:00"/>
        <d v="2025-05-08T00:00:00"/>
        <d v="2025-11-14T00:00:00"/>
        <d v="2025-06-02T00:00:00"/>
        <d v="2025-05-18T00:00:00"/>
        <d v="2025-03-23T00:00:00"/>
        <d v="2025-12-19T00:00:00"/>
      </sharedItems>
      <fieldGroup par="13"/>
    </cacheField>
    <cacheField name="Region" numFmtId="0">
      <sharedItems count="6">
        <s v="Central"/>
        <s v="East"/>
        <s v="South"/>
        <s v="West"/>
        <s v="North"/>
        <s v="Unknown"/>
      </sharedItems>
    </cacheField>
    <cacheField name="Category" numFmtId="0">
      <sharedItems count="5">
        <s v="Technology"/>
        <s v="Home &amp; Kitchen"/>
        <s v="Office Supplies"/>
        <s v="Furniture"/>
        <s v="Unknown"/>
      </sharedItems>
    </cacheField>
    <cacheField name="Product" numFmtId="0">
      <sharedItems count="18">
        <s v="Keyboard"/>
        <s v="Storage Box"/>
        <s v="Webcam"/>
        <s v="Notebook"/>
        <s v="Desk Lamp"/>
        <s v="Cookware Set"/>
        <s v="File Organizer"/>
        <s v="Laptop"/>
        <s v="Stapler"/>
        <s v="Printer Paper"/>
        <s v="Headphones"/>
        <s v="Bookshelf"/>
        <s v="Mouse"/>
        <s v="Pen Set"/>
        <s v="Mixer Grinder"/>
        <s v="Office Chair"/>
        <s v="Water Bottle"/>
        <s v="Monitor"/>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20" maxValue="65000"/>
    </cacheField>
    <cacheField name="Sales" numFmtId="0">
      <sharedItems containsSemiMixedTypes="0" containsString="0" containsNumber="1" minValue="96" maxValue="585000"/>
    </cacheField>
    <cacheField name="Discount" numFmtId="0">
      <sharedItems containsSemiMixedTypes="0" containsString="0" containsNumber="1" minValue="0" maxValue="0.2"/>
    </cacheField>
    <cacheField name="Profit" numFmtId="0">
      <sharedItems containsSemiMixedTypes="0" containsString="0" containsNumber="1" minValue="-16136.11" maxValue="257376.24"/>
    </cacheField>
    <cacheField name="Sales_Channel" numFmtId="0">
      <sharedItems/>
    </cacheField>
    <cacheField name="Customer_Segment" numFmtId="0">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56557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
  <r>
    <s v="ORD-00001"/>
    <x v="0"/>
    <x v="0"/>
    <x v="0"/>
    <x v="0"/>
    <n v="9"/>
    <n v="1200"/>
    <n v="9180"/>
    <n v="0.15"/>
    <n v="1352.77"/>
    <s v="Wholesale"/>
    <s v="Corporate"/>
  </r>
  <r>
    <s v="ORD-00002"/>
    <x v="1"/>
    <x v="1"/>
    <x v="1"/>
    <x v="1"/>
    <n v="10"/>
    <n v="650"/>
    <n v="5850"/>
    <n v="0.1"/>
    <n v="1853.92"/>
    <s v="Online"/>
    <s v="Small Business"/>
  </r>
  <r>
    <s v="ORD-00003"/>
    <x v="2"/>
    <x v="1"/>
    <x v="0"/>
    <x v="2"/>
    <n v="8"/>
    <n v="3200"/>
    <n v="20480"/>
    <n v="0.2"/>
    <n v="4228.0200000000004"/>
    <s v="Retail Store"/>
    <s v="Corporate"/>
  </r>
  <r>
    <s v="ORD-00004"/>
    <x v="3"/>
    <x v="2"/>
    <x v="0"/>
    <x v="2"/>
    <n v="6"/>
    <n v="3200"/>
    <n v="19200"/>
    <n v="0"/>
    <n v="5750.18"/>
    <s v="Wholesale"/>
    <s v="Corporate"/>
  </r>
  <r>
    <s v="ORD-00005"/>
    <x v="4"/>
    <x v="0"/>
    <x v="2"/>
    <x v="3"/>
    <n v="6"/>
    <n v="120"/>
    <n v="684"/>
    <n v="0.05"/>
    <n v="198.37"/>
    <s v="Retail Store"/>
    <s v="Consumer"/>
  </r>
  <r>
    <s v="ORD-00006"/>
    <x v="5"/>
    <x v="0"/>
    <x v="1"/>
    <x v="1"/>
    <n v="7"/>
    <n v="650"/>
    <n v="3867.5"/>
    <n v="0.15"/>
    <n v="1047.26"/>
    <s v="Wholesale"/>
    <s v="Consumer"/>
  </r>
  <r>
    <s v="ORD-00007"/>
    <x v="6"/>
    <x v="3"/>
    <x v="3"/>
    <x v="4"/>
    <n v="1"/>
    <n v="12000"/>
    <n v="9600"/>
    <n v="0.2"/>
    <n v="1304.78"/>
    <s v="Retail Store"/>
    <s v="Consumer"/>
  </r>
  <r>
    <s v="ORD-00008"/>
    <x v="7"/>
    <x v="1"/>
    <x v="1"/>
    <x v="5"/>
    <n v="2"/>
    <n v="2800"/>
    <n v="4480"/>
    <n v="0.2"/>
    <n v="340.53"/>
    <s v="Wholesale"/>
    <s v="Small Business"/>
  </r>
  <r>
    <s v="ORD-00009"/>
    <x v="8"/>
    <x v="2"/>
    <x v="2"/>
    <x v="6"/>
    <n v="9"/>
    <n v="600"/>
    <n v="4320"/>
    <n v="0.2"/>
    <n v="651.77"/>
    <s v="Retail Store"/>
    <s v="Small Business"/>
  </r>
  <r>
    <s v="ORD-00010"/>
    <x v="9"/>
    <x v="3"/>
    <x v="0"/>
    <x v="7"/>
    <n v="3"/>
    <n v="65000"/>
    <n v="156000"/>
    <n v="0.2"/>
    <n v="2310.5100000000002"/>
    <s v="Retail Store"/>
    <s v="Consumer"/>
  </r>
  <r>
    <s v="ORD-00011"/>
    <x v="10"/>
    <x v="0"/>
    <x v="2"/>
    <x v="8"/>
    <n v="8"/>
    <n v="180"/>
    <n v="1224"/>
    <n v="0.15"/>
    <n v="133.91"/>
    <s v="Wholesale"/>
    <s v="Consumer"/>
  </r>
  <r>
    <s v="ORD-00012"/>
    <x v="11"/>
    <x v="1"/>
    <x v="2"/>
    <x v="9"/>
    <n v="8"/>
    <n v="450"/>
    <n v="3600"/>
    <n v="0"/>
    <n v="1193.83"/>
    <s v="Retail Store"/>
    <s v="Consumer"/>
  </r>
  <r>
    <s v="ORD-00013"/>
    <x v="12"/>
    <x v="2"/>
    <x v="1"/>
    <x v="1"/>
    <n v="2"/>
    <n v="650"/>
    <n v="1040"/>
    <n v="0.2"/>
    <n v="231.47"/>
    <s v="Wholesale"/>
    <s v="Small Business"/>
  </r>
  <r>
    <s v="ORD-00014"/>
    <x v="13"/>
    <x v="0"/>
    <x v="3"/>
    <x v="4"/>
    <n v="1"/>
    <n v="1800"/>
    <n v="1800"/>
    <n v="0"/>
    <n v="809.9"/>
    <s v="Online"/>
    <s v="Consumer"/>
  </r>
  <r>
    <s v="ORD-00015"/>
    <x v="14"/>
    <x v="1"/>
    <x v="0"/>
    <x v="10"/>
    <n v="1"/>
    <n v="2500"/>
    <n v="2125"/>
    <n v="0.15"/>
    <n v="104.45"/>
    <s v="Online"/>
    <s v="Consumer"/>
  </r>
  <r>
    <s v="ORD-00016"/>
    <x v="7"/>
    <x v="2"/>
    <x v="2"/>
    <x v="6"/>
    <n v="10"/>
    <n v="600"/>
    <n v="5400"/>
    <n v="0.1"/>
    <n v="982.59"/>
    <s v="Retail Store"/>
    <s v="Corporate"/>
  </r>
  <r>
    <s v="ORD-00017"/>
    <x v="15"/>
    <x v="1"/>
    <x v="3"/>
    <x v="11"/>
    <n v="2"/>
    <n v="7000"/>
    <n v="12600"/>
    <n v="0.1"/>
    <n v="2372.86"/>
    <s v="Wholesale"/>
    <s v="Small Business"/>
  </r>
  <r>
    <s v="ORD-00018"/>
    <x v="16"/>
    <x v="4"/>
    <x v="1"/>
    <x v="5"/>
    <n v="9"/>
    <n v="2800"/>
    <n v="25200"/>
    <n v="0"/>
    <n v="8781.65"/>
    <s v="Online"/>
    <s v="Small Business"/>
  </r>
  <r>
    <s v="ORD-00019"/>
    <x v="17"/>
    <x v="1"/>
    <x v="2"/>
    <x v="3"/>
    <n v="1"/>
    <n v="120"/>
    <n v="102"/>
    <n v="0.15"/>
    <n v="20.58"/>
    <s v="Online"/>
    <s v="Small Business"/>
  </r>
  <r>
    <s v="ORD-00020"/>
    <x v="18"/>
    <x v="3"/>
    <x v="1"/>
    <x v="5"/>
    <n v="3"/>
    <n v="2800"/>
    <n v="7140"/>
    <n v="0.15"/>
    <n v="1341.52"/>
    <s v="Wholesale"/>
    <s v="Consumer"/>
  </r>
  <r>
    <s v="ORD-00021"/>
    <x v="19"/>
    <x v="0"/>
    <x v="0"/>
    <x v="10"/>
    <n v="7"/>
    <n v="2500"/>
    <n v="17500"/>
    <n v="0"/>
    <n v="6951.29"/>
    <s v="Online"/>
    <s v="Small Business"/>
  </r>
  <r>
    <s v="ORD-00022"/>
    <x v="20"/>
    <x v="2"/>
    <x v="3"/>
    <x v="4"/>
    <n v="1"/>
    <n v="1800"/>
    <n v="1800"/>
    <n v="0"/>
    <n v="496.21"/>
    <s v="Online"/>
    <s v="Corporate"/>
  </r>
  <r>
    <s v="ORD-00023"/>
    <x v="21"/>
    <x v="1"/>
    <x v="3"/>
    <x v="4"/>
    <n v="5"/>
    <n v="1800"/>
    <n v="8100"/>
    <n v="0.1"/>
    <n v="1854.78"/>
    <s v="Online"/>
    <s v="Small Business"/>
  </r>
  <r>
    <s v="ORD-00024"/>
    <x v="22"/>
    <x v="3"/>
    <x v="3"/>
    <x v="11"/>
    <n v="8"/>
    <n v="7000"/>
    <n v="50400"/>
    <n v="0.1"/>
    <n v="4491.4399999999996"/>
    <s v="Online"/>
    <s v="Small Business"/>
  </r>
  <r>
    <s v="ORD-00025"/>
    <x v="23"/>
    <x v="2"/>
    <x v="1"/>
    <x v="1"/>
    <n v="2"/>
    <n v="650"/>
    <n v="1105"/>
    <n v="0.15"/>
    <n v="110.39"/>
    <s v="Online"/>
    <s v="Consumer"/>
  </r>
  <r>
    <s v="ORD-00026"/>
    <x v="24"/>
    <x v="2"/>
    <x v="0"/>
    <x v="12"/>
    <n v="6"/>
    <n v="700"/>
    <n v="3780"/>
    <n v="0.1"/>
    <n v="851.9"/>
    <s v="Online"/>
    <s v="Small Business"/>
  </r>
  <r>
    <s v="ORD-00027"/>
    <x v="1"/>
    <x v="0"/>
    <x v="3"/>
    <x v="11"/>
    <n v="9"/>
    <n v="7000"/>
    <n v="50400"/>
    <n v="0.2"/>
    <n v="6014.63"/>
    <s v="Wholesale"/>
    <s v="Small Business"/>
  </r>
  <r>
    <s v="ORD-00028"/>
    <x v="25"/>
    <x v="4"/>
    <x v="3"/>
    <x v="11"/>
    <n v="10"/>
    <n v="7000"/>
    <n v="66500"/>
    <n v="0.05"/>
    <n v="15331.19"/>
    <s v="Retail Store"/>
    <s v="Consumer"/>
  </r>
  <r>
    <s v="ORD-00029"/>
    <x v="26"/>
    <x v="4"/>
    <x v="0"/>
    <x v="2"/>
    <n v="1"/>
    <n v="3200"/>
    <n v="3040"/>
    <n v="0.05"/>
    <n v="655.88"/>
    <s v="Wholesale"/>
    <s v="Small Business"/>
  </r>
  <r>
    <s v="ORD-00030"/>
    <x v="27"/>
    <x v="4"/>
    <x v="2"/>
    <x v="6"/>
    <n v="2"/>
    <n v="600"/>
    <n v="1140"/>
    <n v="0.05"/>
    <n v="178.09"/>
    <s v="Online"/>
    <s v="Small Business"/>
  </r>
  <r>
    <s v="ORD-00032"/>
    <x v="28"/>
    <x v="1"/>
    <x v="2"/>
    <x v="8"/>
    <n v="10"/>
    <n v="180"/>
    <n v="1440"/>
    <n v="0.2"/>
    <n v="131.81"/>
    <s v="Wholesale"/>
    <s v="Consumer"/>
  </r>
  <r>
    <s v="ORD-00033"/>
    <x v="29"/>
    <x v="3"/>
    <x v="1"/>
    <x v="1"/>
    <n v="2"/>
    <n v="650"/>
    <n v="1040"/>
    <n v="0.2"/>
    <n v="193.67"/>
    <s v="Retail Store"/>
    <s v="Small Business"/>
  </r>
  <r>
    <s v="ORD-00034"/>
    <x v="30"/>
    <x v="1"/>
    <x v="0"/>
    <x v="2"/>
    <n v="7"/>
    <n v="3200"/>
    <n v="22400"/>
    <n v="0"/>
    <n v="8377.91"/>
    <s v="Retail Store"/>
    <s v="Small Business"/>
  </r>
  <r>
    <s v="ORD-00035"/>
    <x v="31"/>
    <x v="2"/>
    <x v="0"/>
    <x v="10"/>
    <n v="6"/>
    <n v="2500"/>
    <n v="15000"/>
    <n v="0"/>
    <n v="4478.51"/>
    <s v="Wholesale"/>
    <s v="Consumer"/>
  </r>
  <r>
    <s v="ORD-00036"/>
    <x v="32"/>
    <x v="1"/>
    <x v="0"/>
    <x v="7"/>
    <n v="3"/>
    <n v="65000"/>
    <n v="165750"/>
    <n v="0.15"/>
    <n v="39859.760000000002"/>
    <s v="Online"/>
    <s v="Small Business"/>
  </r>
  <r>
    <s v="ORD-00037"/>
    <x v="33"/>
    <x v="2"/>
    <x v="3"/>
    <x v="11"/>
    <n v="7"/>
    <n v="7000"/>
    <n v="44100"/>
    <n v="0.1"/>
    <n v="12159.88"/>
    <s v="Online"/>
    <s v="Consumer"/>
  </r>
  <r>
    <s v="ORD-00038"/>
    <x v="34"/>
    <x v="2"/>
    <x v="0"/>
    <x v="2"/>
    <n v="9"/>
    <n v="3200"/>
    <n v="23040"/>
    <n v="0.2"/>
    <n v="2885.11"/>
    <s v="Online"/>
    <s v="Consumer"/>
  </r>
  <r>
    <s v="ORD-00039"/>
    <x v="35"/>
    <x v="0"/>
    <x v="2"/>
    <x v="6"/>
    <n v="8"/>
    <n v="600"/>
    <n v="4320"/>
    <n v="0.1"/>
    <n v="1338.09"/>
    <s v="Online"/>
    <s v="Consumer"/>
  </r>
  <r>
    <s v="ORD-00040"/>
    <x v="36"/>
    <x v="4"/>
    <x v="0"/>
    <x v="2"/>
    <n v="9"/>
    <n v="3200"/>
    <n v="27360"/>
    <n v="0.05"/>
    <n v="8870.6200000000008"/>
    <s v="Wholesale"/>
    <s v="Consumer"/>
  </r>
  <r>
    <s v="ORD-00041"/>
    <x v="37"/>
    <x v="1"/>
    <x v="3"/>
    <x v="4"/>
    <n v="1"/>
    <n v="1800"/>
    <n v="1800"/>
    <n v="0"/>
    <n v="479.94"/>
    <s v="Online"/>
    <s v="Corporate"/>
  </r>
  <r>
    <s v="ORD-00042"/>
    <x v="38"/>
    <x v="3"/>
    <x v="2"/>
    <x v="9"/>
    <n v="4"/>
    <n v="450"/>
    <n v="1710"/>
    <n v="0.05"/>
    <n v="545.47"/>
    <s v="Wholesale"/>
    <s v="Corporate"/>
  </r>
  <r>
    <s v="ORD-00043"/>
    <x v="39"/>
    <x v="1"/>
    <x v="2"/>
    <x v="13"/>
    <n v="3"/>
    <n v="250"/>
    <n v="600"/>
    <n v="0.2"/>
    <n v="104.37"/>
    <s v="Wholesale"/>
    <s v="Corporate"/>
  </r>
  <r>
    <s v="ORD-00044"/>
    <x v="25"/>
    <x v="2"/>
    <x v="1"/>
    <x v="14"/>
    <n v="3"/>
    <n v="3200"/>
    <n v="9600"/>
    <n v="0"/>
    <n v="3544.9"/>
    <s v="Wholesale"/>
    <s v="Corporate"/>
  </r>
  <r>
    <s v="ORD-00045"/>
    <x v="40"/>
    <x v="0"/>
    <x v="0"/>
    <x v="7"/>
    <n v="9"/>
    <n v="65000"/>
    <n v="585000"/>
    <n v="0"/>
    <n v="129022.26"/>
    <s v="Online"/>
    <s v="Small Business"/>
  </r>
  <r>
    <s v="ORD-00046"/>
    <x v="41"/>
    <x v="0"/>
    <x v="1"/>
    <x v="5"/>
    <n v="9"/>
    <n v="2800"/>
    <n v="25200"/>
    <n v="0"/>
    <n v="10758.01"/>
    <s v="Retail Store"/>
    <s v="Small Business"/>
  </r>
  <r>
    <s v="ORD-00047"/>
    <x v="42"/>
    <x v="1"/>
    <x v="0"/>
    <x v="2"/>
    <n v="10"/>
    <n v="3200"/>
    <n v="25600"/>
    <n v="0.2"/>
    <n v="1198.21"/>
    <s v="Wholesale"/>
    <s v="Small Business"/>
  </r>
  <r>
    <s v="ORD-00048"/>
    <x v="43"/>
    <x v="3"/>
    <x v="2"/>
    <x v="13"/>
    <n v="7"/>
    <n v="250"/>
    <n v="1750"/>
    <n v="0"/>
    <n v="326.27999999999997"/>
    <s v="Retail Store"/>
    <s v="Small Business"/>
  </r>
  <r>
    <s v="ORD-00049"/>
    <x v="44"/>
    <x v="5"/>
    <x v="3"/>
    <x v="15"/>
    <n v="3"/>
    <n v="8500"/>
    <n v="24225"/>
    <n v="0.05"/>
    <n v="6488.32"/>
    <s v="Wholesale"/>
    <s v="Corporate"/>
  </r>
  <r>
    <s v="ORD-00050"/>
    <x v="45"/>
    <x v="0"/>
    <x v="0"/>
    <x v="0"/>
    <n v="2"/>
    <n v="1200"/>
    <n v="2280"/>
    <n v="0.05"/>
    <n v="763.88"/>
    <s v="Online"/>
    <s v="Consumer"/>
  </r>
  <r>
    <s v="ORD-00051"/>
    <x v="46"/>
    <x v="1"/>
    <x v="0"/>
    <x v="0"/>
    <n v="8"/>
    <n v="1200"/>
    <n v="9600"/>
    <n v="0"/>
    <n v="2054.65"/>
    <s v="Wholesale"/>
    <s v="Small Business"/>
  </r>
  <r>
    <s v="ORD-00052"/>
    <x v="47"/>
    <x v="3"/>
    <x v="0"/>
    <x v="0"/>
    <n v="8"/>
    <n v="1200"/>
    <n v="8640"/>
    <n v="0.1"/>
    <n v="3046.53"/>
    <s v="Wholesale"/>
    <s v="Small Business"/>
  </r>
  <r>
    <s v="ORD-00053"/>
    <x v="48"/>
    <x v="2"/>
    <x v="0"/>
    <x v="7"/>
    <n v="2"/>
    <n v="65000"/>
    <n v="117000"/>
    <n v="0.1"/>
    <n v="18193.560000000001"/>
    <s v="Online"/>
    <s v="Small Business"/>
  </r>
  <r>
    <s v="ORD-00054"/>
    <x v="49"/>
    <x v="2"/>
    <x v="1"/>
    <x v="16"/>
    <n v="6"/>
    <n v="400"/>
    <n v="1920"/>
    <n v="0.2"/>
    <n v="174.23"/>
    <s v="Online"/>
    <s v="Small Business"/>
  </r>
  <r>
    <s v="ORD-00055"/>
    <x v="50"/>
    <x v="2"/>
    <x v="3"/>
    <x v="11"/>
    <n v="6"/>
    <n v="7000"/>
    <n v="37800"/>
    <n v="0.1"/>
    <n v="5269.42"/>
    <s v="Retail Store"/>
    <s v="Corporate"/>
  </r>
  <r>
    <s v="ORD-00056"/>
    <x v="51"/>
    <x v="1"/>
    <x v="3"/>
    <x v="4"/>
    <n v="5"/>
    <n v="1800"/>
    <n v="8550"/>
    <n v="0.05"/>
    <n v="1569.38"/>
    <s v="Online"/>
    <s v="Corporate"/>
  </r>
  <r>
    <s v="ORD-00057"/>
    <x v="52"/>
    <x v="0"/>
    <x v="2"/>
    <x v="13"/>
    <n v="6"/>
    <n v="250"/>
    <n v="1500"/>
    <n v="0"/>
    <n v="447.67"/>
    <s v="Retail Store"/>
    <s v="Corporate"/>
  </r>
  <r>
    <s v="ORD-00058"/>
    <x v="18"/>
    <x v="4"/>
    <x v="1"/>
    <x v="1"/>
    <n v="1"/>
    <n v="650"/>
    <n v="552.5"/>
    <n v="0.15"/>
    <n v="69.260000000000005"/>
    <s v="Wholesale"/>
    <s v="Small Business"/>
  </r>
  <r>
    <s v="ORD-00059"/>
    <x v="53"/>
    <x v="4"/>
    <x v="3"/>
    <x v="4"/>
    <n v="6"/>
    <n v="1800"/>
    <n v="8640"/>
    <n v="0.2"/>
    <n v="1736.42"/>
    <s v="Retail Store"/>
    <s v="Corporate"/>
  </r>
  <r>
    <s v="ORD-00060"/>
    <x v="54"/>
    <x v="3"/>
    <x v="2"/>
    <x v="13"/>
    <n v="6"/>
    <n v="250"/>
    <n v="1275"/>
    <n v="0.15"/>
    <n v="189.03"/>
    <s v="Retail Store"/>
    <s v="Consumer"/>
  </r>
  <r>
    <s v="ORD-00061"/>
    <x v="55"/>
    <x v="2"/>
    <x v="0"/>
    <x v="17"/>
    <n v="2"/>
    <n v="14000"/>
    <n v="22400"/>
    <n v="0.2"/>
    <n v="559.69000000000005"/>
    <s v="Retail Store"/>
    <s v="Corporate"/>
  </r>
  <r>
    <s v="ORD-00062"/>
    <x v="56"/>
    <x v="4"/>
    <x v="2"/>
    <x v="6"/>
    <n v="6"/>
    <n v="600"/>
    <n v="3600"/>
    <n v="0"/>
    <n v="1079.8"/>
    <s v="Online"/>
    <s v="Small Business"/>
  </r>
  <r>
    <s v="ORD-00063"/>
    <x v="57"/>
    <x v="0"/>
    <x v="3"/>
    <x v="4"/>
    <n v="4"/>
    <n v="1800"/>
    <n v="6120"/>
    <n v="0.15"/>
    <n v="851.41"/>
    <s v="Retail Store"/>
    <s v="Corporate"/>
  </r>
  <r>
    <s v="ORD-00064"/>
    <x v="58"/>
    <x v="2"/>
    <x v="3"/>
    <x v="15"/>
    <n v="1"/>
    <n v="8500"/>
    <n v="8075"/>
    <n v="0.05"/>
    <n v="-535.49"/>
    <s v="Retail Store"/>
    <s v="Corporate"/>
  </r>
  <r>
    <s v="ORD-00066"/>
    <x v="59"/>
    <x v="2"/>
    <x v="1"/>
    <x v="5"/>
    <n v="1"/>
    <n v="2800"/>
    <n v="2520"/>
    <n v="0.1"/>
    <n v="368.43"/>
    <s v="Retail Store"/>
    <s v="Small Business"/>
  </r>
  <r>
    <s v="ORD-00067"/>
    <x v="60"/>
    <x v="0"/>
    <x v="1"/>
    <x v="16"/>
    <n v="4"/>
    <n v="400"/>
    <n v="1360"/>
    <n v="0.15"/>
    <n v="456.59"/>
    <s v="Wholesale"/>
    <s v="Corporate"/>
  </r>
  <r>
    <s v="ORD-00068"/>
    <x v="61"/>
    <x v="1"/>
    <x v="2"/>
    <x v="8"/>
    <n v="10"/>
    <n v="180"/>
    <n v="1800"/>
    <n v="0"/>
    <n v="395.42"/>
    <s v="Retail Store"/>
    <s v="Small Business"/>
  </r>
  <r>
    <s v="ORD-00069"/>
    <x v="62"/>
    <x v="1"/>
    <x v="2"/>
    <x v="9"/>
    <n v="3"/>
    <n v="450"/>
    <n v="1350"/>
    <n v="0"/>
    <n v="247.06"/>
    <s v="Wholesale"/>
    <s v="Corporate"/>
  </r>
  <r>
    <s v="ORD-00070"/>
    <x v="63"/>
    <x v="0"/>
    <x v="1"/>
    <x v="14"/>
    <n v="10"/>
    <n v="3200"/>
    <n v="32000"/>
    <n v="0"/>
    <n v="14150.51"/>
    <s v="Wholesale"/>
    <s v="Consumer"/>
  </r>
  <r>
    <s v="ORD-00071"/>
    <x v="64"/>
    <x v="1"/>
    <x v="3"/>
    <x v="11"/>
    <n v="8"/>
    <n v="7000"/>
    <n v="56000"/>
    <n v="0"/>
    <n v="16749.62"/>
    <s v="Wholesale"/>
    <s v="Small Business"/>
  </r>
  <r>
    <s v="ORD-00072"/>
    <x v="65"/>
    <x v="2"/>
    <x v="3"/>
    <x v="4"/>
    <n v="10"/>
    <n v="12000"/>
    <n v="102000"/>
    <n v="0.15"/>
    <n v="13163.9"/>
    <s v="Wholesale"/>
    <s v="Corporate"/>
  </r>
  <r>
    <s v="ORD-00073"/>
    <x v="66"/>
    <x v="2"/>
    <x v="0"/>
    <x v="2"/>
    <n v="1"/>
    <n v="3200"/>
    <n v="3040"/>
    <n v="0.05"/>
    <n v="597.86"/>
    <s v="Retail Store"/>
    <s v="Corporate"/>
  </r>
  <r>
    <s v="ORD-00074"/>
    <x v="67"/>
    <x v="2"/>
    <x v="2"/>
    <x v="13"/>
    <n v="8"/>
    <n v="250"/>
    <n v="2000"/>
    <n v="0"/>
    <n v="799.25"/>
    <s v="Retail Store"/>
    <s v="Corporate"/>
  </r>
  <r>
    <s v="ORD-00075"/>
    <x v="68"/>
    <x v="3"/>
    <x v="1"/>
    <x v="14"/>
    <n v="5"/>
    <n v="3200"/>
    <n v="16000"/>
    <n v="0"/>
    <n v="4977.03"/>
    <s v="Wholesale"/>
    <s v="Corporate"/>
  </r>
  <r>
    <s v="ORD-00076"/>
    <x v="23"/>
    <x v="1"/>
    <x v="1"/>
    <x v="5"/>
    <n v="6"/>
    <n v="2800"/>
    <n v="16800"/>
    <n v="0"/>
    <n v="-451.36"/>
    <s v="Wholesale"/>
    <s v="Corporate"/>
  </r>
  <r>
    <s v="ORD-00077"/>
    <x v="69"/>
    <x v="3"/>
    <x v="2"/>
    <x v="9"/>
    <n v="1"/>
    <n v="450"/>
    <n v="450"/>
    <n v="0"/>
    <n v="141.35"/>
    <s v="Wholesale"/>
    <s v="Small Business"/>
  </r>
  <r>
    <s v="ORD-00078"/>
    <x v="70"/>
    <x v="2"/>
    <x v="3"/>
    <x v="4"/>
    <n v="4"/>
    <n v="12000"/>
    <n v="48000"/>
    <n v="0"/>
    <n v="13025.37"/>
    <s v="Wholesale"/>
    <s v="Small Business"/>
  </r>
  <r>
    <s v="ORD-00079"/>
    <x v="71"/>
    <x v="0"/>
    <x v="1"/>
    <x v="1"/>
    <n v="6"/>
    <n v="650"/>
    <n v="3120"/>
    <n v="0.2"/>
    <n v="754.73"/>
    <s v="Wholesale"/>
    <s v="Small Business"/>
  </r>
  <r>
    <s v="ORD-00080"/>
    <x v="72"/>
    <x v="0"/>
    <x v="0"/>
    <x v="17"/>
    <n v="4"/>
    <n v="14000"/>
    <n v="56000"/>
    <n v="0"/>
    <n v="13768.48"/>
    <s v="Wholesale"/>
    <s v="Consumer"/>
  </r>
  <r>
    <s v="ORD-00081"/>
    <x v="63"/>
    <x v="4"/>
    <x v="0"/>
    <x v="17"/>
    <n v="4"/>
    <n v="14000"/>
    <n v="44800"/>
    <n v="0.2"/>
    <n v="7444.17"/>
    <s v="Wholesale"/>
    <s v="Consumer"/>
  </r>
  <r>
    <s v="ORD-00082"/>
    <x v="73"/>
    <x v="1"/>
    <x v="2"/>
    <x v="9"/>
    <n v="6"/>
    <n v="450"/>
    <n v="2430"/>
    <n v="0.1"/>
    <n v="938.06"/>
    <s v="Retail Store"/>
    <s v="Consumer"/>
  </r>
  <r>
    <s v="ORD-00083"/>
    <x v="74"/>
    <x v="0"/>
    <x v="0"/>
    <x v="17"/>
    <n v="9"/>
    <n v="14000"/>
    <n v="126000"/>
    <n v="0"/>
    <n v="23711.78"/>
    <s v="Online"/>
    <s v="Corporate"/>
  </r>
  <r>
    <s v="ORD-00084"/>
    <x v="75"/>
    <x v="0"/>
    <x v="2"/>
    <x v="9"/>
    <n v="2"/>
    <n v="450"/>
    <n v="810"/>
    <n v="0.1"/>
    <n v="201.14"/>
    <s v="Online"/>
    <s v="Small Business"/>
  </r>
  <r>
    <s v="ORD-00085"/>
    <x v="76"/>
    <x v="0"/>
    <x v="2"/>
    <x v="3"/>
    <n v="2"/>
    <n v="120"/>
    <n v="204"/>
    <n v="0.15"/>
    <n v="69.290000000000006"/>
    <s v="Online"/>
    <s v="Small Business"/>
  </r>
  <r>
    <s v="ORD-00086"/>
    <x v="77"/>
    <x v="4"/>
    <x v="1"/>
    <x v="1"/>
    <n v="9"/>
    <n v="650"/>
    <n v="5850"/>
    <n v="0"/>
    <n v="2390.67"/>
    <s v="Retail Store"/>
    <s v="Consumer"/>
  </r>
  <r>
    <s v="ORD-00087"/>
    <x v="78"/>
    <x v="0"/>
    <x v="3"/>
    <x v="11"/>
    <n v="1"/>
    <n v="7000"/>
    <n v="7000"/>
    <n v="0"/>
    <n v="1734.52"/>
    <s v="Online"/>
    <s v="Corporate"/>
  </r>
  <r>
    <s v="ORD-00088"/>
    <x v="79"/>
    <x v="2"/>
    <x v="2"/>
    <x v="13"/>
    <n v="5"/>
    <n v="250"/>
    <n v="1125"/>
    <n v="0.1"/>
    <n v="355.82"/>
    <s v="Retail Store"/>
    <s v="Consumer"/>
  </r>
  <r>
    <s v="ORD-00089"/>
    <x v="80"/>
    <x v="4"/>
    <x v="2"/>
    <x v="8"/>
    <n v="1"/>
    <n v="180"/>
    <n v="162"/>
    <n v="0.1"/>
    <n v="50.89"/>
    <s v="Wholesale"/>
    <s v="Small Business"/>
  </r>
  <r>
    <s v="ORD-00090"/>
    <x v="81"/>
    <x v="0"/>
    <x v="1"/>
    <x v="1"/>
    <n v="9"/>
    <n v="650"/>
    <n v="5850"/>
    <n v="0"/>
    <n v="1844.4"/>
    <s v="Retail Store"/>
    <s v="Consumer"/>
  </r>
  <r>
    <s v="ORD-00091"/>
    <x v="82"/>
    <x v="4"/>
    <x v="2"/>
    <x v="13"/>
    <n v="9"/>
    <n v="250"/>
    <n v="2137.5"/>
    <n v="0.05"/>
    <n v="737.61"/>
    <s v="Retail Store"/>
    <s v="Corporate"/>
  </r>
  <r>
    <s v="ORD-00092"/>
    <x v="83"/>
    <x v="2"/>
    <x v="3"/>
    <x v="15"/>
    <n v="10"/>
    <n v="8500"/>
    <n v="80750"/>
    <n v="0.05"/>
    <n v="15505.97"/>
    <s v="Retail Store"/>
    <s v="Small Business"/>
  </r>
  <r>
    <s v="ORD-00093"/>
    <x v="84"/>
    <x v="1"/>
    <x v="0"/>
    <x v="7"/>
    <n v="7"/>
    <n v="65000"/>
    <n v="409500"/>
    <n v="0.1"/>
    <n v="39295.71"/>
    <s v="Online"/>
    <s v="Corporate"/>
  </r>
  <r>
    <s v="ORD-00094"/>
    <x v="85"/>
    <x v="0"/>
    <x v="2"/>
    <x v="9"/>
    <n v="2"/>
    <n v="450"/>
    <n v="855"/>
    <n v="0.05"/>
    <n v="319.27"/>
    <s v="Online"/>
    <s v="Small Business"/>
  </r>
  <r>
    <s v="ORD-00095"/>
    <x v="86"/>
    <x v="3"/>
    <x v="0"/>
    <x v="0"/>
    <n v="8"/>
    <n v="1200"/>
    <n v="8160"/>
    <n v="0.15"/>
    <n v="-820.89"/>
    <s v="Online"/>
    <s v="Small Business"/>
  </r>
  <r>
    <s v="ORD-00096"/>
    <x v="87"/>
    <x v="4"/>
    <x v="0"/>
    <x v="17"/>
    <n v="2"/>
    <n v="14000"/>
    <n v="26600"/>
    <n v="0.05"/>
    <n v="9653.23"/>
    <s v="Retail Store"/>
    <s v="Small Business"/>
  </r>
  <r>
    <s v="ORD-00097"/>
    <x v="88"/>
    <x v="2"/>
    <x v="0"/>
    <x v="2"/>
    <n v="9"/>
    <n v="3200"/>
    <n v="28800"/>
    <n v="0"/>
    <n v="8703"/>
    <s v="Retail Store"/>
    <s v="Consumer"/>
  </r>
  <r>
    <s v="ORD-00098"/>
    <x v="89"/>
    <x v="3"/>
    <x v="2"/>
    <x v="13"/>
    <n v="9"/>
    <n v="250"/>
    <n v="2025"/>
    <n v="0.1"/>
    <n v="505.61"/>
    <s v="Retail Store"/>
    <s v="Corporate"/>
  </r>
  <r>
    <s v="ORD-00099"/>
    <x v="90"/>
    <x v="0"/>
    <x v="0"/>
    <x v="12"/>
    <n v="10"/>
    <n v="700"/>
    <n v="7000"/>
    <n v="0"/>
    <n v="2825.73"/>
    <s v="Retail Store"/>
    <s v="Small Business"/>
  </r>
  <r>
    <s v="ORD-00100"/>
    <x v="91"/>
    <x v="0"/>
    <x v="2"/>
    <x v="13"/>
    <n v="8"/>
    <n v="250"/>
    <n v="2000"/>
    <n v="0"/>
    <n v="889.77"/>
    <s v="Wholesale"/>
    <s v="Consumer"/>
  </r>
  <r>
    <s v="ORD-00101"/>
    <x v="92"/>
    <x v="3"/>
    <x v="1"/>
    <x v="5"/>
    <n v="6"/>
    <n v="2800"/>
    <n v="16800"/>
    <n v="0"/>
    <n v="5314.78"/>
    <s v="Online"/>
    <s v="Corporate"/>
  </r>
  <r>
    <s v="ORD-00102"/>
    <x v="93"/>
    <x v="0"/>
    <x v="1"/>
    <x v="1"/>
    <n v="10"/>
    <n v="650"/>
    <n v="6175"/>
    <n v="0.05"/>
    <n v="1700.89"/>
    <s v="Online"/>
    <s v="Corporate"/>
  </r>
  <r>
    <s v="ORD-00103"/>
    <x v="94"/>
    <x v="0"/>
    <x v="2"/>
    <x v="13"/>
    <n v="2"/>
    <n v="250"/>
    <n v="450"/>
    <n v="0.1"/>
    <n v="56.51"/>
    <s v="Wholesale"/>
    <s v="Corporate"/>
  </r>
  <r>
    <s v="ORD-00104"/>
    <x v="62"/>
    <x v="3"/>
    <x v="3"/>
    <x v="11"/>
    <n v="9"/>
    <n v="7000"/>
    <n v="63000"/>
    <n v="0"/>
    <n v="11808.82"/>
    <s v="Wholesale"/>
    <s v="Consumer"/>
  </r>
  <r>
    <s v="ORD-00105"/>
    <x v="95"/>
    <x v="4"/>
    <x v="3"/>
    <x v="4"/>
    <n v="3"/>
    <n v="1800"/>
    <n v="4590"/>
    <n v="0.15"/>
    <n v="228.33"/>
    <s v="Online"/>
    <s v="Consumer"/>
  </r>
  <r>
    <s v="ORD-00106"/>
    <x v="96"/>
    <x v="3"/>
    <x v="0"/>
    <x v="10"/>
    <n v="9"/>
    <n v="2500"/>
    <n v="21375"/>
    <n v="0.05"/>
    <n v="8103.13"/>
    <s v="Wholesale"/>
    <s v="Small Business"/>
  </r>
  <r>
    <s v="ORD-00107"/>
    <x v="64"/>
    <x v="3"/>
    <x v="3"/>
    <x v="4"/>
    <n v="1"/>
    <n v="1800"/>
    <n v="1620"/>
    <n v="0.1"/>
    <n v="344.59"/>
    <s v="Online"/>
    <s v="Small Business"/>
  </r>
  <r>
    <s v="ORD-00108"/>
    <x v="97"/>
    <x v="0"/>
    <x v="2"/>
    <x v="8"/>
    <n v="8"/>
    <n v="180"/>
    <n v="1152"/>
    <n v="0.2"/>
    <n v="-5.56"/>
    <s v="Retail Store"/>
    <s v="Small Business"/>
  </r>
  <r>
    <s v="ORD-00109"/>
    <x v="98"/>
    <x v="1"/>
    <x v="2"/>
    <x v="9"/>
    <n v="3"/>
    <n v="450"/>
    <n v="1350"/>
    <n v="0"/>
    <n v="-87.61"/>
    <s v="Wholesale"/>
    <s v="Small Business"/>
  </r>
  <r>
    <s v="ORD-00110"/>
    <x v="99"/>
    <x v="0"/>
    <x v="3"/>
    <x v="11"/>
    <n v="3"/>
    <n v="7000"/>
    <n v="21000"/>
    <n v="0"/>
    <n v="8146.77"/>
    <s v="Retail Store"/>
    <s v="Consumer"/>
  </r>
  <r>
    <s v="ORD-00111"/>
    <x v="76"/>
    <x v="2"/>
    <x v="2"/>
    <x v="6"/>
    <n v="9"/>
    <n v="600"/>
    <n v="4860"/>
    <n v="0.1"/>
    <n v="878.72"/>
    <s v="Online"/>
    <s v="Corporate"/>
  </r>
  <r>
    <s v="ORD-00112"/>
    <x v="24"/>
    <x v="0"/>
    <x v="2"/>
    <x v="3"/>
    <n v="10"/>
    <n v="120"/>
    <n v="1200"/>
    <n v="0"/>
    <n v="442.7"/>
    <s v="Online"/>
    <s v="Small Business"/>
  </r>
  <r>
    <s v="ORD-00113"/>
    <x v="18"/>
    <x v="0"/>
    <x v="1"/>
    <x v="1"/>
    <n v="1"/>
    <n v="650"/>
    <n v="552.5"/>
    <n v="0.15"/>
    <n v="-64.62"/>
    <s v="Retail Store"/>
    <s v="Small Business"/>
  </r>
  <r>
    <s v="ORD-00114"/>
    <x v="16"/>
    <x v="0"/>
    <x v="3"/>
    <x v="11"/>
    <n v="10"/>
    <n v="7000"/>
    <n v="59500"/>
    <n v="0.15"/>
    <n v="14381.76"/>
    <s v="Online"/>
    <s v="Consumer"/>
  </r>
  <r>
    <s v="ORD-00115"/>
    <x v="100"/>
    <x v="0"/>
    <x v="1"/>
    <x v="1"/>
    <n v="7"/>
    <n v="650"/>
    <n v="3867.5"/>
    <n v="0.15"/>
    <n v="268.83"/>
    <s v="Wholesale"/>
    <s v="Small Business"/>
  </r>
  <r>
    <s v="ORD-00116"/>
    <x v="101"/>
    <x v="3"/>
    <x v="2"/>
    <x v="3"/>
    <n v="2"/>
    <n v="120"/>
    <n v="240"/>
    <n v="0"/>
    <n v="94.05"/>
    <s v="Online"/>
    <s v="Small Business"/>
  </r>
  <r>
    <s v="ORD-00117"/>
    <x v="85"/>
    <x v="3"/>
    <x v="3"/>
    <x v="11"/>
    <n v="1"/>
    <n v="7000"/>
    <n v="5950"/>
    <n v="0.15"/>
    <n v="1940.15"/>
    <s v="Online"/>
    <s v="Small Business"/>
  </r>
  <r>
    <s v="ORD-00118"/>
    <x v="102"/>
    <x v="4"/>
    <x v="2"/>
    <x v="6"/>
    <n v="2"/>
    <n v="600"/>
    <n v="1080"/>
    <n v="0.1"/>
    <n v="343.86"/>
    <s v="Online"/>
    <s v="Small Business"/>
  </r>
  <r>
    <s v="ORD-00119"/>
    <x v="86"/>
    <x v="0"/>
    <x v="3"/>
    <x v="4"/>
    <n v="7"/>
    <n v="1800"/>
    <n v="12600"/>
    <n v="0"/>
    <n v="3480.32"/>
    <s v="Retail Store"/>
    <s v="Small Business"/>
  </r>
  <r>
    <s v="ORD-00120"/>
    <x v="103"/>
    <x v="0"/>
    <x v="3"/>
    <x v="15"/>
    <n v="2"/>
    <n v="8500"/>
    <n v="16150"/>
    <n v="0.05"/>
    <n v="5713.57"/>
    <s v="Retail Store"/>
    <s v="Consumer"/>
  </r>
  <r>
    <s v="ORD-00121"/>
    <x v="104"/>
    <x v="4"/>
    <x v="0"/>
    <x v="7"/>
    <n v="8"/>
    <n v="65000"/>
    <n v="468000"/>
    <n v="0.1"/>
    <n v="58955.06"/>
    <s v="Retail Store"/>
    <s v="Small Business"/>
  </r>
  <r>
    <s v="ORD-00122"/>
    <x v="105"/>
    <x v="0"/>
    <x v="2"/>
    <x v="3"/>
    <n v="1"/>
    <n v="120"/>
    <n v="108"/>
    <n v="0.1"/>
    <n v="36.119999999999997"/>
    <s v="Wholesale"/>
    <s v="Consumer"/>
  </r>
  <r>
    <s v="ORD-00123"/>
    <x v="43"/>
    <x v="1"/>
    <x v="1"/>
    <x v="14"/>
    <n v="6"/>
    <n v="3200"/>
    <n v="19200"/>
    <n v="0"/>
    <n v="8583.15"/>
    <s v="Retail Store"/>
    <s v="Small Business"/>
  </r>
  <r>
    <s v="ORD-00124"/>
    <x v="106"/>
    <x v="4"/>
    <x v="0"/>
    <x v="2"/>
    <n v="4"/>
    <n v="3200"/>
    <n v="12160"/>
    <n v="0.05"/>
    <n v="1896.66"/>
    <s v="Wholesale"/>
    <s v="Corporate"/>
  </r>
  <r>
    <s v="ORD-00125"/>
    <x v="107"/>
    <x v="0"/>
    <x v="2"/>
    <x v="9"/>
    <n v="7"/>
    <n v="450"/>
    <n v="2677.5"/>
    <n v="0.15"/>
    <n v="207.83"/>
    <s v="Online"/>
    <s v="Corporate"/>
  </r>
  <r>
    <s v="ORD-00126"/>
    <x v="108"/>
    <x v="3"/>
    <x v="1"/>
    <x v="16"/>
    <n v="1"/>
    <n v="400"/>
    <n v="340"/>
    <n v="0.15"/>
    <n v="54.16"/>
    <s v="Wholesale"/>
    <s v="Small Business"/>
  </r>
  <r>
    <s v="ORD-00127"/>
    <x v="25"/>
    <x v="1"/>
    <x v="3"/>
    <x v="4"/>
    <n v="3"/>
    <n v="1800"/>
    <n v="5130"/>
    <n v="0.05"/>
    <n v="972.07"/>
    <s v="Online"/>
    <s v="Corporate"/>
  </r>
  <r>
    <s v="ORD-00128"/>
    <x v="109"/>
    <x v="4"/>
    <x v="3"/>
    <x v="15"/>
    <n v="4"/>
    <n v="8500"/>
    <n v="28900"/>
    <n v="0.15"/>
    <n v="4738.45"/>
    <s v="Wholesale"/>
    <s v="Small Business"/>
  </r>
  <r>
    <s v="ORD-00129"/>
    <x v="70"/>
    <x v="5"/>
    <x v="1"/>
    <x v="1"/>
    <n v="10"/>
    <n v="650"/>
    <n v="5850"/>
    <n v="0.1"/>
    <n v="1206.68"/>
    <s v="Wholesale"/>
    <s v="Small Business"/>
  </r>
  <r>
    <s v="ORD-00130"/>
    <x v="110"/>
    <x v="1"/>
    <x v="2"/>
    <x v="6"/>
    <n v="7"/>
    <n v="600"/>
    <n v="3990"/>
    <n v="0.05"/>
    <n v="1663.62"/>
    <s v="Retail Store"/>
    <s v="Consumer"/>
  </r>
  <r>
    <s v="ORD-00131"/>
    <x v="52"/>
    <x v="0"/>
    <x v="2"/>
    <x v="8"/>
    <n v="8"/>
    <n v="180"/>
    <n v="1440"/>
    <n v="0"/>
    <n v="413.48"/>
    <s v="Wholesale"/>
    <s v="Consumer"/>
  </r>
  <r>
    <s v="ORD-00132"/>
    <x v="111"/>
    <x v="1"/>
    <x v="0"/>
    <x v="0"/>
    <n v="7"/>
    <n v="1200"/>
    <n v="7980"/>
    <n v="0.05"/>
    <n v="2489.2399999999998"/>
    <s v="Online"/>
    <s v="Consumer"/>
  </r>
  <r>
    <s v="ORD-00133"/>
    <x v="112"/>
    <x v="0"/>
    <x v="3"/>
    <x v="15"/>
    <n v="2"/>
    <n v="8500"/>
    <n v="17000"/>
    <n v="0"/>
    <n v="6839.66"/>
    <s v="Retail Store"/>
    <s v="Consumer"/>
  </r>
  <r>
    <s v="ORD-00134"/>
    <x v="113"/>
    <x v="4"/>
    <x v="0"/>
    <x v="0"/>
    <n v="3"/>
    <n v="1200"/>
    <n v="3600"/>
    <n v="0"/>
    <n v="770.3"/>
    <s v="Online"/>
    <s v="Consumer"/>
  </r>
  <r>
    <s v="ORD-00135"/>
    <x v="114"/>
    <x v="1"/>
    <x v="1"/>
    <x v="14"/>
    <n v="3"/>
    <n v="3200"/>
    <n v="8640"/>
    <n v="0.1"/>
    <n v="845.32"/>
    <s v="Retail Store"/>
    <s v="Small Business"/>
  </r>
  <r>
    <s v="ORD-00136"/>
    <x v="115"/>
    <x v="2"/>
    <x v="1"/>
    <x v="5"/>
    <n v="1"/>
    <n v="2800"/>
    <n v="2520"/>
    <n v="0.1"/>
    <n v="744.41"/>
    <s v="Wholesale"/>
    <s v="Small Business"/>
  </r>
  <r>
    <s v="ORD-00137"/>
    <x v="14"/>
    <x v="2"/>
    <x v="0"/>
    <x v="7"/>
    <n v="8"/>
    <n v="65000"/>
    <n v="442000"/>
    <n v="0.15"/>
    <n v="98072.82"/>
    <s v="Online"/>
    <s v="Small Business"/>
  </r>
  <r>
    <s v="ORD-00138"/>
    <x v="116"/>
    <x v="0"/>
    <x v="0"/>
    <x v="17"/>
    <n v="7"/>
    <n v="14000"/>
    <n v="98000"/>
    <n v="0"/>
    <n v="36962.69"/>
    <s v="Online"/>
    <s v="Consumer"/>
  </r>
  <r>
    <s v="ORD-00139"/>
    <x v="117"/>
    <x v="4"/>
    <x v="2"/>
    <x v="13"/>
    <n v="5"/>
    <n v="250"/>
    <n v="1250"/>
    <n v="0"/>
    <n v="263.29000000000002"/>
    <s v="Retail Store"/>
    <s v="Small Business"/>
  </r>
  <r>
    <s v="ORD-00140"/>
    <x v="118"/>
    <x v="2"/>
    <x v="0"/>
    <x v="7"/>
    <n v="6"/>
    <n v="65000"/>
    <n v="331500"/>
    <n v="0.15"/>
    <n v="46446.400000000001"/>
    <s v="Retail Store"/>
    <s v="Small Business"/>
  </r>
  <r>
    <s v="ORD-00141"/>
    <x v="119"/>
    <x v="2"/>
    <x v="0"/>
    <x v="0"/>
    <n v="9"/>
    <n v="1200"/>
    <n v="9180"/>
    <n v="0.15"/>
    <n v="2915.68"/>
    <s v="Retail Store"/>
    <s v="Corporate"/>
  </r>
  <r>
    <s v="ORD-00142"/>
    <x v="120"/>
    <x v="3"/>
    <x v="2"/>
    <x v="13"/>
    <n v="3"/>
    <n v="250"/>
    <n v="750"/>
    <n v="0"/>
    <n v="298.18"/>
    <s v="Retail Store"/>
    <s v="Corporate"/>
  </r>
  <r>
    <s v="ORD-00143"/>
    <x v="121"/>
    <x v="4"/>
    <x v="1"/>
    <x v="16"/>
    <n v="4"/>
    <n v="400"/>
    <n v="1600"/>
    <n v="0"/>
    <n v="391.65"/>
    <s v="Wholesale"/>
    <s v="Corporate"/>
  </r>
  <r>
    <s v="ORD-00144"/>
    <x v="122"/>
    <x v="1"/>
    <x v="3"/>
    <x v="11"/>
    <n v="9"/>
    <n v="7000"/>
    <n v="63000"/>
    <n v="0"/>
    <n v="11525.84"/>
    <s v="Retail Store"/>
    <s v="Corporate"/>
  </r>
  <r>
    <s v="ORD-00145"/>
    <x v="123"/>
    <x v="2"/>
    <x v="0"/>
    <x v="0"/>
    <n v="3"/>
    <n v="1200"/>
    <n v="3420"/>
    <n v="0.05"/>
    <n v="998.44"/>
    <s v="Retail Store"/>
    <s v="Consumer"/>
  </r>
  <r>
    <s v="ORD-00146"/>
    <x v="124"/>
    <x v="4"/>
    <x v="2"/>
    <x v="8"/>
    <n v="2"/>
    <n v="180"/>
    <n v="324"/>
    <n v="0.1"/>
    <n v="95.26"/>
    <s v="Online"/>
    <s v="Small Business"/>
  </r>
  <r>
    <s v="ORD-00147"/>
    <x v="125"/>
    <x v="1"/>
    <x v="1"/>
    <x v="14"/>
    <n v="4"/>
    <n v="3200"/>
    <n v="10240"/>
    <n v="0.2"/>
    <n v="2499.92"/>
    <s v="Online"/>
    <s v="Consumer"/>
  </r>
  <r>
    <s v="ORD-00148"/>
    <x v="93"/>
    <x v="1"/>
    <x v="2"/>
    <x v="3"/>
    <n v="5"/>
    <n v="120"/>
    <n v="540"/>
    <n v="0.1"/>
    <n v="51.45"/>
    <s v="Wholesale"/>
    <s v="Corporate"/>
  </r>
  <r>
    <s v="ORD-00149"/>
    <x v="126"/>
    <x v="3"/>
    <x v="3"/>
    <x v="15"/>
    <n v="6"/>
    <n v="8500"/>
    <n v="40800"/>
    <n v="0.2"/>
    <n v="4821.12"/>
    <s v="Wholesale"/>
    <s v="Small Business"/>
  </r>
  <r>
    <s v="ORD-00150"/>
    <x v="127"/>
    <x v="0"/>
    <x v="0"/>
    <x v="2"/>
    <n v="6"/>
    <n v="3200"/>
    <n v="18240"/>
    <n v="0.05"/>
    <n v="6633.6"/>
    <s v="Retail Store"/>
    <s v="Small Business"/>
  </r>
  <r>
    <s v="ORD-00151"/>
    <x v="128"/>
    <x v="0"/>
    <x v="0"/>
    <x v="2"/>
    <n v="1"/>
    <n v="3200"/>
    <n v="2880"/>
    <n v="0.1"/>
    <n v="717.62"/>
    <s v="Online"/>
    <s v="Small Business"/>
  </r>
  <r>
    <s v="ORD-00152"/>
    <x v="129"/>
    <x v="4"/>
    <x v="3"/>
    <x v="4"/>
    <n v="7"/>
    <n v="1800"/>
    <n v="12600"/>
    <n v="0"/>
    <n v="3241.77"/>
    <s v="Retail Store"/>
    <s v="Consumer"/>
  </r>
  <r>
    <s v="ORD-00153"/>
    <x v="130"/>
    <x v="4"/>
    <x v="3"/>
    <x v="4"/>
    <n v="4"/>
    <n v="1800"/>
    <n v="5760"/>
    <n v="0.2"/>
    <n v="1396.42"/>
    <s v="Online"/>
    <s v="Consumer"/>
  </r>
  <r>
    <s v="ORD-00154"/>
    <x v="131"/>
    <x v="2"/>
    <x v="1"/>
    <x v="16"/>
    <n v="3"/>
    <n v="400"/>
    <n v="1080"/>
    <n v="0.1"/>
    <n v="127.69"/>
    <s v="Wholesale"/>
    <s v="Corporate"/>
  </r>
  <r>
    <s v="ORD-00155"/>
    <x v="127"/>
    <x v="3"/>
    <x v="2"/>
    <x v="13"/>
    <n v="5"/>
    <n v="250"/>
    <n v="1125"/>
    <n v="0.1"/>
    <n v="340.92"/>
    <s v="Online"/>
    <s v="Consumer"/>
  </r>
  <r>
    <s v="ORD-00156"/>
    <x v="132"/>
    <x v="3"/>
    <x v="1"/>
    <x v="1"/>
    <n v="6"/>
    <n v="650"/>
    <n v="3900"/>
    <n v="0"/>
    <n v="1114.8499999999999"/>
    <s v="Retail Store"/>
    <s v="Small Business"/>
  </r>
  <r>
    <s v="ORD-00157"/>
    <x v="67"/>
    <x v="4"/>
    <x v="3"/>
    <x v="11"/>
    <n v="9"/>
    <n v="7000"/>
    <n v="63000"/>
    <n v="0"/>
    <n v="13793.03"/>
    <s v="Retail Store"/>
    <s v="Consumer"/>
  </r>
  <r>
    <s v="ORD-00158"/>
    <x v="133"/>
    <x v="1"/>
    <x v="3"/>
    <x v="4"/>
    <n v="5"/>
    <n v="12000"/>
    <n v="51000"/>
    <n v="0.15"/>
    <n v="11418.7"/>
    <s v="Wholesale"/>
    <s v="Small Business"/>
  </r>
  <r>
    <s v="ORD-00159"/>
    <x v="18"/>
    <x v="4"/>
    <x v="0"/>
    <x v="2"/>
    <n v="1"/>
    <n v="3200"/>
    <n v="3040"/>
    <n v="0.05"/>
    <n v="559.77"/>
    <s v="Retail Store"/>
    <s v="Corporate"/>
  </r>
  <r>
    <s v="ORD-00160"/>
    <x v="120"/>
    <x v="4"/>
    <x v="1"/>
    <x v="16"/>
    <n v="7"/>
    <n v="400"/>
    <n v="2800"/>
    <n v="0"/>
    <n v="1169.53"/>
    <s v="Wholesale"/>
    <s v="Consumer"/>
  </r>
  <r>
    <s v="ORD-00161"/>
    <x v="134"/>
    <x v="1"/>
    <x v="3"/>
    <x v="11"/>
    <n v="10"/>
    <n v="7000"/>
    <n v="66500"/>
    <n v="0.05"/>
    <n v="10060.56"/>
    <s v="Online"/>
    <s v="Corporate"/>
  </r>
  <r>
    <s v="ORD-00162"/>
    <x v="135"/>
    <x v="4"/>
    <x v="2"/>
    <x v="13"/>
    <n v="10"/>
    <n v="250"/>
    <n v="2375"/>
    <n v="0.05"/>
    <n v="476.05"/>
    <s v="Wholesale"/>
    <s v="Consumer"/>
  </r>
  <r>
    <s v="ORD-00163"/>
    <x v="112"/>
    <x v="1"/>
    <x v="2"/>
    <x v="9"/>
    <n v="7"/>
    <n v="450"/>
    <n v="3150"/>
    <n v="0"/>
    <n v="1264.95"/>
    <s v="Retail Store"/>
    <s v="Corporate"/>
  </r>
  <r>
    <s v="ORD-00164"/>
    <x v="133"/>
    <x v="1"/>
    <x v="0"/>
    <x v="2"/>
    <n v="9"/>
    <n v="3200"/>
    <n v="28800"/>
    <n v="0"/>
    <n v="12419.48"/>
    <s v="Wholesale"/>
    <s v="Consumer"/>
  </r>
  <r>
    <s v="ORD-00165"/>
    <x v="136"/>
    <x v="3"/>
    <x v="0"/>
    <x v="7"/>
    <n v="8"/>
    <n v="65000"/>
    <n v="520000"/>
    <n v="0"/>
    <n v="125981.9"/>
    <s v="Online"/>
    <s v="Consumer"/>
  </r>
  <r>
    <s v="ORD-00166"/>
    <x v="90"/>
    <x v="4"/>
    <x v="3"/>
    <x v="4"/>
    <n v="4"/>
    <n v="1800"/>
    <n v="7200"/>
    <n v="0"/>
    <n v="3164.59"/>
    <s v="Retail Store"/>
    <s v="Corporate"/>
  </r>
  <r>
    <s v="ORD-00167"/>
    <x v="111"/>
    <x v="3"/>
    <x v="1"/>
    <x v="1"/>
    <n v="9"/>
    <n v="650"/>
    <n v="4680"/>
    <n v="0.2"/>
    <n v="248.08"/>
    <s v="Online"/>
    <s v="Consumer"/>
  </r>
  <r>
    <s v="ORD-00168"/>
    <x v="137"/>
    <x v="2"/>
    <x v="2"/>
    <x v="8"/>
    <n v="4"/>
    <n v="180"/>
    <n v="684"/>
    <n v="0.05"/>
    <n v="-31.81"/>
    <s v="Online"/>
    <s v="Consumer"/>
  </r>
  <r>
    <s v="ORD-00169"/>
    <x v="16"/>
    <x v="2"/>
    <x v="2"/>
    <x v="3"/>
    <n v="4"/>
    <n v="120"/>
    <n v="480"/>
    <n v="0"/>
    <n v="92.91"/>
    <s v="Retail Store"/>
    <s v="Consumer"/>
  </r>
  <r>
    <s v="ORD-00170"/>
    <x v="138"/>
    <x v="2"/>
    <x v="1"/>
    <x v="1"/>
    <n v="2"/>
    <n v="650"/>
    <n v="1235"/>
    <n v="0.05"/>
    <n v="201.17"/>
    <s v="Online"/>
    <s v="Consumer"/>
  </r>
  <r>
    <s v="ORD-00171"/>
    <x v="139"/>
    <x v="0"/>
    <x v="3"/>
    <x v="4"/>
    <n v="8"/>
    <n v="1800"/>
    <n v="14400"/>
    <n v="0"/>
    <n v="4492.51"/>
    <s v="Retail Store"/>
    <s v="Small Business"/>
  </r>
  <r>
    <s v="ORD-00172"/>
    <x v="112"/>
    <x v="2"/>
    <x v="0"/>
    <x v="0"/>
    <n v="8"/>
    <n v="1200"/>
    <n v="8160"/>
    <n v="0.15"/>
    <n v="1007.94"/>
    <s v="Online"/>
    <s v="Corporate"/>
  </r>
  <r>
    <s v="ORD-00173"/>
    <x v="140"/>
    <x v="4"/>
    <x v="0"/>
    <x v="2"/>
    <n v="4"/>
    <n v="3200"/>
    <n v="12800"/>
    <n v="0"/>
    <n v="4062.13"/>
    <s v="Wholesale"/>
    <s v="Small Business"/>
  </r>
  <r>
    <s v="ORD-00174"/>
    <x v="94"/>
    <x v="0"/>
    <x v="0"/>
    <x v="0"/>
    <n v="9"/>
    <n v="1200"/>
    <n v="10800"/>
    <n v="0"/>
    <n v="4465.34"/>
    <s v="Online"/>
    <s v="Small Business"/>
  </r>
  <r>
    <s v="ORD-00175"/>
    <x v="141"/>
    <x v="1"/>
    <x v="1"/>
    <x v="14"/>
    <n v="7"/>
    <n v="3200"/>
    <n v="20160"/>
    <n v="0.1"/>
    <n v="2858.06"/>
    <s v="Online"/>
    <s v="Small Business"/>
  </r>
  <r>
    <s v="ORD-00176"/>
    <x v="135"/>
    <x v="2"/>
    <x v="1"/>
    <x v="5"/>
    <n v="6"/>
    <n v="2800"/>
    <n v="16800"/>
    <n v="0"/>
    <n v="5769.79"/>
    <s v="Retail Store"/>
    <s v="Corporate"/>
  </r>
  <r>
    <s v="ORD-00177"/>
    <x v="142"/>
    <x v="3"/>
    <x v="1"/>
    <x v="5"/>
    <n v="5"/>
    <n v="2800"/>
    <n v="11900"/>
    <n v="0.15"/>
    <n v="1460.01"/>
    <s v="Wholesale"/>
    <s v="Corporate"/>
  </r>
  <r>
    <s v="ORD-00178"/>
    <x v="143"/>
    <x v="3"/>
    <x v="3"/>
    <x v="4"/>
    <n v="5"/>
    <n v="1800"/>
    <n v="9000"/>
    <n v="0"/>
    <n v="2071.09"/>
    <s v="Online"/>
    <s v="Corporate"/>
  </r>
  <r>
    <s v="ORD-00179"/>
    <x v="144"/>
    <x v="1"/>
    <x v="3"/>
    <x v="15"/>
    <n v="10"/>
    <n v="8500"/>
    <n v="85000"/>
    <n v="0"/>
    <n v="37909.57"/>
    <s v="Online"/>
    <s v="Corporate"/>
  </r>
  <r>
    <s v="ORD-00180"/>
    <x v="79"/>
    <x v="4"/>
    <x v="3"/>
    <x v="15"/>
    <n v="5"/>
    <n v="8500"/>
    <n v="42500"/>
    <n v="0"/>
    <n v="14495.08"/>
    <s v="Wholesale"/>
    <s v="Corporate"/>
  </r>
  <r>
    <s v="ORD-00181"/>
    <x v="145"/>
    <x v="0"/>
    <x v="2"/>
    <x v="3"/>
    <n v="7"/>
    <n v="120"/>
    <n v="840"/>
    <n v="0"/>
    <n v="179.09"/>
    <s v="Wholesale"/>
    <s v="Corporate"/>
  </r>
  <r>
    <s v="ORD-00182"/>
    <x v="115"/>
    <x v="4"/>
    <x v="1"/>
    <x v="14"/>
    <n v="5"/>
    <n v="3200"/>
    <n v="16000"/>
    <n v="0"/>
    <n v="5848.66"/>
    <s v="Online"/>
    <s v="Consumer"/>
  </r>
  <r>
    <s v="ORD-00183"/>
    <x v="146"/>
    <x v="2"/>
    <x v="3"/>
    <x v="4"/>
    <n v="6"/>
    <n v="12000"/>
    <n v="72000"/>
    <n v="0"/>
    <n v="24933.09"/>
    <s v="Wholesale"/>
    <s v="Small Business"/>
  </r>
  <r>
    <s v="ORD-00184"/>
    <x v="23"/>
    <x v="0"/>
    <x v="3"/>
    <x v="4"/>
    <n v="7"/>
    <n v="1800"/>
    <n v="10080"/>
    <n v="0.2"/>
    <n v="3038.25"/>
    <s v="Retail Store"/>
    <s v="Corporate"/>
  </r>
  <r>
    <s v="ORD-00185"/>
    <x v="147"/>
    <x v="3"/>
    <x v="0"/>
    <x v="17"/>
    <n v="2"/>
    <n v="14000"/>
    <n v="28000"/>
    <n v="0"/>
    <n v="8603.7199999999993"/>
    <s v="Online"/>
    <s v="Consumer"/>
  </r>
  <r>
    <s v="ORD-00186"/>
    <x v="148"/>
    <x v="3"/>
    <x v="3"/>
    <x v="4"/>
    <n v="4"/>
    <n v="12000"/>
    <n v="40800"/>
    <n v="0.15"/>
    <n v="9156.43"/>
    <s v="Wholesale"/>
    <s v="Small Business"/>
  </r>
  <r>
    <s v="ORD-00187"/>
    <x v="149"/>
    <x v="1"/>
    <x v="3"/>
    <x v="11"/>
    <n v="4"/>
    <n v="7000"/>
    <n v="28000"/>
    <n v="0"/>
    <n v="8890.17"/>
    <s v="Online"/>
    <s v="Consumer"/>
  </r>
  <r>
    <s v="ORD-00188"/>
    <x v="150"/>
    <x v="3"/>
    <x v="3"/>
    <x v="11"/>
    <n v="2"/>
    <n v="7000"/>
    <n v="14000"/>
    <n v="0"/>
    <n v="3538.56"/>
    <s v="Online"/>
    <s v="Corporate"/>
  </r>
  <r>
    <s v="ORD-00189"/>
    <x v="151"/>
    <x v="2"/>
    <x v="1"/>
    <x v="14"/>
    <n v="8"/>
    <n v="3200"/>
    <n v="25600"/>
    <n v="0"/>
    <n v="4890.41"/>
    <s v="Online"/>
    <s v="Corporate"/>
  </r>
  <r>
    <s v="ORD-00190"/>
    <x v="32"/>
    <x v="3"/>
    <x v="2"/>
    <x v="3"/>
    <n v="7"/>
    <n v="120"/>
    <n v="798"/>
    <n v="0.05"/>
    <n v="-130.24"/>
    <s v="Wholesale"/>
    <s v="Consumer"/>
  </r>
  <r>
    <s v="ORD-00191"/>
    <x v="152"/>
    <x v="4"/>
    <x v="0"/>
    <x v="0"/>
    <n v="5"/>
    <n v="1200"/>
    <n v="6000"/>
    <n v="0"/>
    <n v="2524.5300000000002"/>
    <s v="Online"/>
    <s v="Consumer"/>
  </r>
  <r>
    <s v="ORD-00192"/>
    <x v="153"/>
    <x v="4"/>
    <x v="2"/>
    <x v="3"/>
    <n v="3"/>
    <n v="120"/>
    <n v="360"/>
    <n v="0"/>
    <n v="127.54"/>
    <s v="Online"/>
    <s v="Small Business"/>
  </r>
  <r>
    <s v="ORD-00193"/>
    <x v="154"/>
    <x v="4"/>
    <x v="3"/>
    <x v="11"/>
    <n v="2"/>
    <n v="7000"/>
    <n v="11900"/>
    <n v="0.15"/>
    <n v="473.7"/>
    <s v="Wholesale"/>
    <s v="Consumer"/>
  </r>
  <r>
    <s v="ORD-00194"/>
    <x v="155"/>
    <x v="2"/>
    <x v="3"/>
    <x v="4"/>
    <n v="2"/>
    <n v="1800"/>
    <n v="3600"/>
    <n v="0"/>
    <n v="1255.55"/>
    <s v="Online"/>
    <s v="Consumer"/>
  </r>
  <r>
    <s v="ORD-00195"/>
    <x v="156"/>
    <x v="3"/>
    <x v="3"/>
    <x v="4"/>
    <n v="4"/>
    <n v="1800"/>
    <n v="6480"/>
    <n v="0.1"/>
    <n v="978.23"/>
    <s v="Retail Store"/>
    <s v="Small Business"/>
  </r>
  <r>
    <s v="ORD-00196"/>
    <x v="157"/>
    <x v="0"/>
    <x v="0"/>
    <x v="0"/>
    <n v="1"/>
    <n v="1200"/>
    <n v="1140"/>
    <n v="0.05"/>
    <n v="381.2"/>
    <s v="Wholesale"/>
    <s v="Small Business"/>
  </r>
  <r>
    <s v="ORD-00197"/>
    <x v="158"/>
    <x v="2"/>
    <x v="2"/>
    <x v="13"/>
    <n v="5"/>
    <n v="250"/>
    <n v="1250"/>
    <n v="0"/>
    <n v="307.24"/>
    <s v="Wholesale"/>
    <s v="Corporate"/>
  </r>
  <r>
    <s v="ORD-00198"/>
    <x v="159"/>
    <x v="1"/>
    <x v="1"/>
    <x v="16"/>
    <n v="5"/>
    <n v="400"/>
    <n v="1600"/>
    <n v="0.2"/>
    <n v="158.36000000000001"/>
    <s v="Wholesale"/>
    <s v="Small Business"/>
  </r>
  <r>
    <s v="ORD-00199"/>
    <x v="160"/>
    <x v="1"/>
    <x v="0"/>
    <x v="17"/>
    <n v="10"/>
    <n v="14000"/>
    <n v="140000"/>
    <n v="0"/>
    <n v="48210.13"/>
    <s v="Online"/>
    <s v="Small Business"/>
  </r>
  <r>
    <s v="ORD-00200"/>
    <x v="161"/>
    <x v="1"/>
    <x v="1"/>
    <x v="16"/>
    <n v="8"/>
    <n v="400"/>
    <n v="3200"/>
    <n v="0"/>
    <n v="946.8"/>
    <s v="Wholesale"/>
    <s v="Consumer"/>
  </r>
  <r>
    <s v="ORD-00201"/>
    <x v="78"/>
    <x v="2"/>
    <x v="3"/>
    <x v="4"/>
    <n v="9"/>
    <n v="12000"/>
    <n v="97200"/>
    <n v="0.1"/>
    <n v="10783.23"/>
    <s v="Retail Store"/>
    <s v="Corporate"/>
  </r>
  <r>
    <s v="ORD-00202"/>
    <x v="162"/>
    <x v="1"/>
    <x v="1"/>
    <x v="1"/>
    <n v="2"/>
    <n v="650"/>
    <n v="1300"/>
    <n v="0"/>
    <n v="366.03"/>
    <s v="Retail Store"/>
    <s v="Small Business"/>
  </r>
  <r>
    <s v="ORD-00203"/>
    <x v="163"/>
    <x v="2"/>
    <x v="1"/>
    <x v="16"/>
    <n v="1"/>
    <n v="400"/>
    <n v="400"/>
    <n v="0"/>
    <n v="-45.67"/>
    <s v="Retail Store"/>
    <s v="Small Business"/>
  </r>
  <r>
    <s v="ORD-00204"/>
    <x v="164"/>
    <x v="4"/>
    <x v="0"/>
    <x v="12"/>
    <n v="6"/>
    <n v="700"/>
    <n v="3780"/>
    <n v="0.1"/>
    <n v="898.67"/>
    <s v="Retail Store"/>
    <s v="Corporate"/>
  </r>
  <r>
    <s v="ORD-00205"/>
    <x v="48"/>
    <x v="2"/>
    <x v="2"/>
    <x v="6"/>
    <n v="1"/>
    <n v="600"/>
    <n v="540"/>
    <n v="0.1"/>
    <n v="118.92"/>
    <s v="Wholesale"/>
    <s v="Small Business"/>
  </r>
  <r>
    <s v="ORD-00206"/>
    <x v="165"/>
    <x v="0"/>
    <x v="3"/>
    <x v="4"/>
    <n v="1"/>
    <n v="12000"/>
    <n v="10200"/>
    <n v="0.15"/>
    <n v="1571.69"/>
    <s v="Retail Store"/>
    <s v="Consumer"/>
  </r>
  <r>
    <s v="ORD-00207"/>
    <x v="45"/>
    <x v="3"/>
    <x v="1"/>
    <x v="14"/>
    <n v="2"/>
    <n v="3200"/>
    <n v="6400"/>
    <n v="0"/>
    <n v="2835.15"/>
    <s v="Retail Store"/>
    <s v="Corporate"/>
  </r>
  <r>
    <s v="ORD-00208"/>
    <x v="166"/>
    <x v="3"/>
    <x v="0"/>
    <x v="7"/>
    <n v="3"/>
    <n v="65000"/>
    <n v="165750"/>
    <n v="0.15"/>
    <n v="15735.46"/>
    <s v="Online"/>
    <s v="Consumer"/>
  </r>
  <r>
    <s v="ORD-00209"/>
    <x v="167"/>
    <x v="0"/>
    <x v="1"/>
    <x v="5"/>
    <n v="10"/>
    <n v="2800"/>
    <n v="23800"/>
    <n v="0.15"/>
    <n v="6425.77"/>
    <s v="Online"/>
    <s v="Consumer"/>
  </r>
  <r>
    <s v="ORD-00210"/>
    <x v="168"/>
    <x v="1"/>
    <x v="1"/>
    <x v="5"/>
    <n v="5"/>
    <n v="2800"/>
    <n v="13300"/>
    <n v="0.05"/>
    <n v="4778.6099999999997"/>
    <s v="Retail Store"/>
    <s v="Small Business"/>
  </r>
  <r>
    <s v="ORD-00211"/>
    <x v="121"/>
    <x v="3"/>
    <x v="2"/>
    <x v="13"/>
    <n v="3"/>
    <n v="250"/>
    <n v="600"/>
    <n v="0.2"/>
    <n v="145.44"/>
    <s v="Retail Store"/>
    <s v="Corporate"/>
  </r>
  <r>
    <s v="ORD-00212"/>
    <x v="169"/>
    <x v="1"/>
    <x v="3"/>
    <x v="15"/>
    <n v="5"/>
    <n v="8500"/>
    <n v="42500"/>
    <n v="0"/>
    <n v="11106.56"/>
    <s v="Retail Store"/>
    <s v="Small Business"/>
  </r>
  <r>
    <s v="ORD-00213"/>
    <x v="156"/>
    <x v="0"/>
    <x v="1"/>
    <x v="1"/>
    <n v="3"/>
    <n v="650"/>
    <n v="1560"/>
    <n v="0.2"/>
    <n v="302.74"/>
    <s v="Wholesale"/>
    <s v="Consumer"/>
  </r>
  <r>
    <s v="ORD-00214"/>
    <x v="170"/>
    <x v="0"/>
    <x v="3"/>
    <x v="4"/>
    <n v="3"/>
    <n v="12000"/>
    <n v="36000"/>
    <n v="0"/>
    <n v="14963.23"/>
    <s v="Retail Store"/>
    <s v="Corporate"/>
  </r>
  <r>
    <s v="ORD-00215"/>
    <x v="142"/>
    <x v="2"/>
    <x v="3"/>
    <x v="4"/>
    <n v="8"/>
    <n v="12000"/>
    <n v="96000"/>
    <n v="0"/>
    <n v="37496.78"/>
    <s v="Wholesale"/>
    <s v="Small Business"/>
  </r>
  <r>
    <s v="ORD-00216"/>
    <x v="171"/>
    <x v="0"/>
    <x v="1"/>
    <x v="14"/>
    <n v="6"/>
    <n v="3200"/>
    <n v="15360"/>
    <n v="0.2"/>
    <n v="4657.47"/>
    <s v="Retail Store"/>
    <s v="Consumer"/>
  </r>
  <r>
    <s v="ORD-00217"/>
    <x v="172"/>
    <x v="3"/>
    <x v="3"/>
    <x v="15"/>
    <n v="8"/>
    <n v="8500"/>
    <n v="64600"/>
    <n v="0.05"/>
    <n v="24058.71"/>
    <s v="Wholesale"/>
    <s v="Corporate"/>
  </r>
  <r>
    <s v="ORD-00218"/>
    <x v="173"/>
    <x v="2"/>
    <x v="3"/>
    <x v="4"/>
    <n v="2"/>
    <n v="1800"/>
    <n v="3240"/>
    <n v="0.1"/>
    <n v="582.1"/>
    <s v="Retail Store"/>
    <s v="Consumer"/>
  </r>
  <r>
    <s v="ORD-00219"/>
    <x v="42"/>
    <x v="1"/>
    <x v="1"/>
    <x v="16"/>
    <n v="6"/>
    <n v="400"/>
    <n v="2400"/>
    <n v="0"/>
    <n v="433.97"/>
    <s v="Wholesale"/>
    <s v="Small Business"/>
  </r>
  <r>
    <s v="ORD-00220"/>
    <x v="156"/>
    <x v="1"/>
    <x v="1"/>
    <x v="14"/>
    <n v="10"/>
    <n v="3200"/>
    <n v="28800"/>
    <n v="0.1"/>
    <n v="2915.07"/>
    <s v="Retail Store"/>
    <s v="Corporate"/>
  </r>
  <r>
    <s v="ORD-00221"/>
    <x v="44"/>
    <x v="1"/>
    <x v="0"/>
    <x v="7"/>
    <n v="8"/>
    <n v="65000"/>
    <n v="416000"/>
    <n v="0.2"/>
    <n v="92313.87"/>
    <s v="Wholesale"/>
    <s v="Consumer"/>
  </r>
  <r>
    <s v="ORD-00222"/>
    <x v="63"/>
    <x v="4"/>
    <x v="0"/>
    <x v="7"/>
    <n v="4"/>
    <n v="65000"/>
    <n v="260000"/>
    <n v="0"/>
    <n v="112508.54"/>
    <s v="Retail Store"/>
    <s v="Corporate"/>
  </r>
  <r>
    <s v="ORD-00223"/>
    <x v="74"/>
    <x v="1"/>
    <x v="0"/>
    <x v="10"/>
    <n v="4"/>
    <n v="2500"/>
    <n v="9000"/>
    <n v="0.1"/>
    <n v="2118.86"/>
    <s v="Wholesale"/>
    <s v="Corporate"/>
  </r>
  <r>
    <s v="ORD-00224"/>
    <x v="18"/>
    <x v="1"/>
    <x v="1"/>
    <x v="14"/>
    <n v="1"/>
    <n v="3200"/>
    <n v="3200"/>
    <n v="0"/>
    <n v="1386.2"/>
    <s v="Retail Store"/>
    <s v="Small Business"/>
  </r>
  <r>
    <s v="ORD-00225"/>
    <x v="2"/>
    <x v="2"/>
    <x v="1"/>
    <x v="14"/>
    <n v="6"/>
    <n v="3200"/>
    <n v="19200"/>
    <n v="0"/>
    <n v="3493.64"/>
    <s v="Wholesale"/>
    <s v="Corporate"/>
  </r>
  <r>
    <s v="ORD-00226"/>
    <x v="174"/>
    <x v="0"/>
    <x v="3"/>
    <x v="15"/>
    <n v="1"/>
    <n v="8500"/>
    <n v="6800"/>
    <n v="0.2"/>
    <n v="1730.79"/>
    <s v="Online"/>
    <s v="Corporate"/>
  </r>
  <r>
    <s v="ORD-00227"/>
    <x v="175"/>
    <x v="0"/>
    <x v="0"/>
    <x v="10"/>
    <n v="9"/>
    <n v="2500"/>
    <n v="19125"/>
    <n v="0.15"/>
    <n v="1734.67"/>
    <s v="Wholesale"/>
    <s v="Small Business"/>
  </r>
  <r>
    <s v="ORD-00228"/>
    <x v="169"/>
    <x v="3"/>
    <x v="3"/>
    <x v="15"/>
    <n v="5"/>
    <n v="8500"/>
    <n v="42500"/>
    <n v="0"/>
    <n v="16588.53"/>
    <s v="Wholesale"/>
    <s v="Corporate"/>
  </r>
  <r>
    <s v="ORD-00229"/>
    <x v="22"/>
    <x v="2"/>
    <x v="1"/>
    <x v="16"/>
    <n v="2"/>
    <n v="400"/>
    <n v="720"/>
    <n v="0.1"/>
    <n v="166.7"/>
    <s v="Retail Store"/>
    <s v="Small Business"/>
  </r>
  <r>
    <s v="ORD-00230"/>
    <x v="43"/>
    <x v="5"/>
    <x v="2"/>
    <x v="9"/>
    <n v="9"/>
    <n v="450"/>
    <n v="4050"/>
    <n v="0"/>
    <n v="1458.01"/>
    <s v="Online"/>
    <s v="Corporate"/>
  </r>
  <r>
    <s v="ORD-00231"/>
    <x v="176"/>
    <x v="1"/>
    <x v="1"/>
    <x v="16"/>
    <n v="6"/>
    <n v="400"/>
    <n v="2040"/>
    <n v="0.15"/>
    <n v="169.14"/>
    <s v="Online"/>
    <s v="Corporate"/>
  </r>
  <r>
    <s v="ORD-00232"/>
    <x v="177"/>
    <x v="2"/>
    <x v="2"/>
    <x v="9"/>
    <n v="7"/>
    <n v="450"/>
    <n v="3150"/>
    <n v="0"/>
    <n v="571.92999999999995"/>
    <s v="Retail Store"/>
    <s v="Consumer"/>
  </r>
  <r>
    <s v="ORD-00233"/>
    <x v="178"/>
    <x v="3"/>
    <x v="2"/>
    <x v="8"/>
    <n v="2"/>
    <n v="180"/>
    <n v="360"/>
    <n v="0"/>
    <n v="125.92"/>
    <s v="Wholesale"/>
    <s v="Corporate"/>
  </r>
  <r>
    <s v="ORD-00234"/>
    <x v="179"/>
    <x v="4"/>
    <x v="2"/>
    <x v="13"/>
    <n v="7"/>
    <n v="250"/>
    <n v="1400"/>
    <n v="0.2"/>
    <n v="255.22"/>
    <s v="Wholesale"/>
    <s v="Small Business"/>
  </r>
  <r>
    <s v="ORD-00235"/>
    <x v="73"/>
    <x v="2"/>
    <x v="3"/>
    <x v="4"/>
    <n v="2"/>
    <n v="12000"/>
    <n v="21600"/>
    <n v="0.1"/>
    <n v="4433.9399999999996"/>
    <s v="Wholesale"/>
    <s v="Consumer"/>
  </r>
  <r>
    <s v="ORD-00236"/>
    <x v="127"/>
    <x v="0"/>
    <x v="1"/>
    <x v="16"/>
    <n v="8"/>
    <n v="400"/>
    <n v="2880"/>
    <n v="0.1"/>
    <n v="736.8"/>
    <s v="Wholesale"/>
    <s v="Small Business"/>
  </r>
  <r>
    <s v="ORD-00237"/>
    <x v="73"/>
    <x v="4"/>
    <x v="0"/>
    <x v="10"/>
    <n v="1"/>
    <n v="2500"/>
    <n v="2375"/>
    <n v="0.05"/>
    <n v="499.74"/>
    <s v="Wholesale"/>
    <s v="Small Business"/>
  </r>
  <r>
    <s v="ORD-00238"/>
    <x v="180"/>
    <x v="1"/>
    <x v="0"/>
    <x v="17"/>
    <n v="5"/>
    <n v="14000"/>
    <n v="70000"/>
    <n v="0"/>
    <n v="12984.44"/>
    <s v="Retail Store"/>
    <s v="Consumer"/>
  </r>
  <r>
    <s v="ORD-00239"/>
    <x v="181"/>
    <x v="5"/>
    <x v="0"/>
    <x v="0"/>
    <n v="4"/>
    <n v="1200"/>
    <n v="4080"/>
    <n v="0.15"/>
    <n v="551.13"/>
    <s v="Online"/>
    <s v="Corporate"/>
  </r>
  <r>
    <s v="ORD-00240"/>
    <x v="182"/>
    <x v="2"/>
    <x v="0"/>
    <x v="2"/>
    <n v="8"/>
    <n v="3200"/>
    <n v="24320"/>
    <n v="0.05"/>
    <n v="7597.61"/>
    <s v="Wholesale"/>
    <s v="Small Business"/>
  </r>
  <r>
    <s v="ORD-00241"/>
    <x v="166"/>
    <x v="2"/>
    <x v="1"/>
    <x v="1"/>
    <n v="5"/>
    <n v="650"/>
    <n v="3250"/>
    <n v="0"/>
    <n v="1312.86"/>
    <s v="Wholesale"/>
    <s v="Small Business"/>
  </r>
  <r>
    <s v="ORD-00242"/>
    <x v="153"/>
    <x v="3"/>
    <x v="2"/>
    <x v="13"/>
    <n v="6"/>
    <n v="250"/>
    <n v="1275"/>
    <n v="0.15"/>
    <n v="441.05"/>
    <s v="Wholesale"/>
    <s v="Corporate"/>
  </r>
  <r>
    <s v="ORD-00243"/>
    <x v="183"/>
    <x v="0"/>
    <x v="1"/>
    <x v="14"/>
    <n v="8"/>
    <n v="3200"/>
    <n v="23040"/>
    <n v="0.1"/>
    <n v="5387.4"/>
    <s v="Wholesale"/>
    <s v="Corporate"/>
  </r>
  <r>
    <s v="ORD-00244"/>
    <x v="184"/>
    <x v="1"/>
    <x v="1"/>
    <x v="14"/>
    <n v="8"/>
    <n v="3200"/>
    <n v="21760"/>
    <n v="0.15"/>
    <n v="4511.58"/>
    <s v="Retail Store"/>
    <s v="Small Business"/>
  </r>
  <r>
    <s v="ORD-00245"/>
    <x v="42"/>
    <x v="0"/>
    <x v="2"/>
    <x v="8"/>
    <n v="7"/>
    <n v="180"/>
    <n v="1260"/>
    <n v="0"/>
    <n v="312.51"/>
    <s v="Online"/>
    <s v="Corporate"/>
  </r>
  <r>
    <s v="ORD-00246"/>
    <x v="185"/>
    <x v="2"/>
    <x v="1"/>
    <x v="1"/>
    <n v="1"/>
    <n v="650"/>
    <n v="552.5"/>
    <n v="0.15"/>
    <n v="99.14"/>
    <s v="Online"/>
    <s v="Small Business"/>
  </r>
  <r>
    <s v="ORD-00247"/>
    <x v="186"/>
    <x v="0"/>
    <x v="3"/>
    <x v="11"/>
    <n v="5"/>
    <n v="7000"/>
    <n v="29750"/>
    <n v="0.15"/>
    <n v="6196.74"/>
    <s v="Online"/>
    <s v="Small Business"/>
  </r>
  <r>
    <s v="ORD-00248"/>
    <x v="187"/>
    <x v="2"/>
    <x v="2"/>
    <x v="3"/>
    <n v="4"/>
    <n v="120"/>
    <n v="480"/>
    <n v="0"/>
    <n v="214.31"/>
    <s v="Online"/>
    <s v="Corporate"/>
  </r>
  <r>
    <s v="ORD-00249"/>
    <x v="133"/>
    <x v="3"/>
    <x v="0"/>
    <x v="17"/>
    <n v="6"/>
    <n v="14000"/>
    <n v="75600"/>
    <n v="0.1"/>
    <n v="21671.64"/>
    <s v="Retail Store"/>
    <s v="Small Business"/>
  </r>
  <r>
    <s v="ORD-00250"/>
    <x v="117"/>
    <x v="0"/>
    <x v="2"/>
    <x v="9"/>
    <n v="6"/>
    <n v="450"/>
    <n v="2430"/>
    <n v="0.1"/>
    <n v="-354.7"/>
    <s v="Wholesale"/>
    <s v="Consumer"/>
  </r>
  <r>
    <s v="ORD-00251"/>
    <x v="188"/>
    <x v="1"/>
    <x v="3"/>
    <x v="4"/>
    <n v="3"/>
    <n v="12000"/>
    <n v="32400"/>
    <n v="0.1"/>
    <n v="11735.36"/>
    <s v="Online"/>
    <s v="Corporate"/>
  </r>
  <r>
    <s v="ORD-00252"/>
    <x v="167"/>
    <x v="0"/>
    <x v="2"/>
    <x v="13"/>
    <n v="6"/>
    <n v="250"/>
    <n v="1500"/>
    <n v="0"/>
    <n v="626.97"/>
    <s v="Retail Store"/>
    <s v="Consumer"/>
  </r>
  <r>
    <s v="ORD-00253"/>
    <x v="40"/>
    <x v="3"/>
    <x v="1"/>
    <x v="1"/>
    <n v="8"/>
    <n v="650"/>
    <n v="4160"/>
    <n v="0.2"/>
    <n v="-86.26"/>
    <s v="Online"/>
    <s v="Consumer"/>
  </r>
  <r>
    <s v="ORD-00254"/>
    <x v="189"/>
    <x v="3"/>
    <x v="3"/>
    <x v="15"/>
    <n v="3"/>
    <n v="8500"/>
    <n v="24225"/>
    <n v="0.05"/>
    <n v="7650.25"/>
    <s v="Retail Store"/>
    <s v="Consumer"/>
  </r>
  <r>
    <s v="ORD-00255"/>
    <x v="166"/>
    <x v="1"/>
    <x v="3"/>
    <x v="4"/>
    <n v="8"/>
    <n v="12000"/>
    <n v="91200"/>
    <n v="0.05"/>
    <n v="31872.45"/>
    <s v="Online"/>
    <s v="Consumer"/>
  </r>
  <r>
    <s v="ORD-00256"/>
    <x v="190"/>
    <x v="4"/>
    <x v="1"/>
    <x v="16"/>
    <n v="3"/>
    <n v="400"/>
    <n v="1020"/>
    <n v="0.15"/>
    <n v="308.22000000000003"/>
    <s v="Retail Store"/>
    <s v="Consumer"/>
  </r>
  <r>
    <s v="ORD-00257"/>
    <x v="190"/>
    <x v="0"/>
    <x v="4"/>
    <x v="11"/>
    <n v="10"/>
    <n v="7000"/>
    <n v="70000"/>
    <n v="0"/>
    <n v="14846.47"/>
    <s v="Online"/>
    <s v="Corporate"/>
  </r>
  <r>
    <s v="ORD-00258"/>
    <x v="42"/>
    <x v="4"/>
    <x v="2"/>
    <x v="6"/>
    <n v="6"/>
    <n v="600"/>
    <n v="3240"/>
    <n v="0.1"/>
    <n v="985.46"/>
    <s v="Retail Store"/>
    <s v="Corporate"/>
  </r>
  <r>
    <s v="ORD-00259"/>
    <x v="191"/>
    <x v="2"/>
    <x v="1"/>
    <x v="1"/>
    <n v="3"/>
    <n v="650"/>
    <n v="1560"/>
    <n v="0.2"/>
    <n v="239.32"/>
    <s v="Online"/>
    <s v="Corporate"/>
  </r>
  <r>
    <s v="ORD-00260"/>
    <x v="72"/>
    <x v="3"/>
    <x v="2"/>
    <x v="13"/>
    <n v="7"/>
    <n v="250"/>
    <n v="1662.5"/>
    <n v="0.05"/>
    <n v="279.72000000000003"/>
    <s v="Online"/>
    <s v="Small Business"/>
  </r>
  <r>
    <s v="ORD-00261"/>
    <x v="192"/>
    <x v="2"/>
    <x v="2"/>
    <x v="6"/>
    <n v="4"/>
    <n v="600"/>
    <n v="2280"/>
    <n v="0.05"/>
    <n v="377.61"/>
    <s v="Retail Store"/>
    <s v="Consumer"/>
  </r>
  <r>
    <s v="ORD-00262"/>
    <x v="164"/>
    <x v="0"/>
    <x v="0"/>
    <x v="2"/>
    <n v="6"/>
    <n v="3200"/>
    <n v="19200"/>
    <n v="0"/>
    <n v="5845.19"/>
    <s v="Retail Store"/>
    <s v="Small Business"/>
  </r>
  <r>
    <s v="ORD-00263"/>
    <x v="193"/>
    <x v="4"/>
    <x v="0"/>
    <x v="0"/>
    <n v="6"/>
    <n v="1200"/>
    <n v="7200"/>
    <n v="0"/>
    <n v="1350.1"/>
    <s v="Online"/>
    <s v="Corporate"/>
  </r>
  <r>
    <s v="ORD-00264"/>
    <x v="191"/>
    <x v="1"/>
    <x v="0"/>
    <x v="12"/>
    <n v="2"/>
    <n v="700"/>
    <n v="1330"/>
    <n v="0.05"/>
    <n v="248.66"/>
    <s v="Retail Store"/>
    <s v="Consumer"/>
  </r>
  <r>
    <s v="ORD-00265"/>
    <x v="194"/>
    <x v="2"/>
    <x v="3"/>
    <x v="4"/>
    <n v="5"/>
    <n v="12000"/>
    <n v="51000"/>
    <n v="0.15"/>
    <n v="9312.31"/>
    <s v="Online"/>
    <s v="Small Business"/>
  </r>
  <r>
    <s v="ORD-00266"/>
    <x v="118"/>
    <x v="2"/>
    <x v="2"/>
    <x v="9"/>
    <n v="10"/>
    <n v="450"/>
    <n v="4500"/>
    <n v="0"/>
    <n v="1393.88"/>
    <s v="Wholesale"/>
    <s v="Small Business"/>
  </r>
  <r>
    <s v="ORD-00267"/>
    <x v="195"/>
    <x v="2"/>
    <x v="3"/>
    <x v="15"/>
    <n v="6"/>
    <n v="8500"/>
    <n v="43350"/>
    <n v="0.15"/>
    <n v="-1921.57"/>
    <s v="Online"/>
    <s v="Small Business"/>
  </r>
  <r>
    <s v="ORD-00268"/>
    <x v="196"/>
    <x v="1"/>
    <x v="2"/>
    <x v="9"/>
    <n v="4"/>
    <n v="450"/>
    <n v="1710"/>
    <n v="0.05"/>
    <n v="568.67999999999995"/>
    <s v="Retail Store"/>
    <s v="Small Business"/>
  </r>
  <r>
    <s v="ORD-00269"/>
    <x v="197"/>
    <x v="0"/>
    <x v="2"/>
    <x v="9"/>
    <n v="2"/>
    <n v="450"/>
    <n v="765"/>
    <n v="0.15"/>
    <n v="36.729999999999997"/>
    <s v="Wholesale"/>
    <s v="Consumer"/>
  </r>
  <r>
    <s v="ORD-00270"/>
    <x v="143"/>
    <x v="4"/>
    <x v="3"/>
    <x v="15"/>
    <n v="8"/>
    <n v="8500"/>
    <n v="68000"/>
    <n v="0"/>
    <n v="16675.400000000001"/>
    <s v="Wholesale"/>
    <s v="Consumer"/>
  </r>
  <r>
    <s v="ORD-00271"/>
    <x v="198"/>
    <x v="0"/>
    <x v="1"/>
    <x v="5"/>
    <n v="1"/>
    <n v="2800"/>
    <n v="2240"/>
    <n v="0.2"/>
    <n v="513.79"/>
    <s v="Online"/>
    <s v="Small Business"/>
  </r>
  <r>
    <s v="ORD-00272"/>
    <x v="93"/>
    <x v="0"/>
    <x v="1"/>
    <x v="1"/>
    <n v="1"/>
    <n v="650"/>
    <n v="617.5"/>
    <n v="0.05"/>
    <n v="131.18"/>
    <s v="Online"/>
    <s v="Corporate"/>
  </r>
  <r>
    <s v="ORD-00273"/>
    <x v="199"/>
    <x v="2"/>
    <x v="1"/>
    <x v="1"/>
    <n v="2"/>
    <n v="650"/>
    <n v="1300"/>
    <n v="0"/>
    <n v="465.1"/>
    <s v="Retail Store"/>
    <s v="Small Business"/>
  </r>
  <r>
    <s v="ORD-00274"/>
    <x v="77"/>
    <x v="0"/>
    <x v="2"/>
    <x v="13"/>
    <n v="8"/>
    <n v="250"/>
    <n v="2000"/>
    <n v="0"/>
    <n v="507.23"/>
    <s v="Online"/>
    <s v="Corporate"/>
  </r>
  <r>
    <s v="ORD-00275"/>
    <x v="177"/>
    <x v="1"/>
    <x v="0"/>
    <x v="10"/>
    <n v="7"/>
    <n v="2500"/>
    <n v="17500"/>
    <n v="0"/>
    <n v="5765.93"/>
    <s v="Retail Store"/>
    <s v="Small Business"/>
  </r>
  <r>
    <s v="ORD-00276"/>
    <x v="56"/>
    <x v="1"/>
    <x v="3"/>
    <x v="4"/>
    <n v="5"/>
    <n v="1800"/>
    <n v="9000"/>
    <n v="0"/>
    <n v="3026.47"/>
    <s v="Online"/>
    <s v="Consumer"/>
  </r>
  <r>
    <s v="ORD-00277"/>
    <x v="200"/>
    <x v="2"/>
    <x v="0"/>
    <x v="0"/>
    <n v="2"/>
    <n v="1200"/>
    <n v="2160"/>
    <n v="0.1"/>
    <n v="738.54"/>
    <s v="Online"/>
    <s v="Small Business"/>
  </r>
  <r>
    <s v="ORD-00278"/>
    <x v="201"/>
    <x v="3"/>
    <x v="0"/>
    <x v="0"/>
    <n v="3"/>
    <n v="1200"/>
    <n v="3600"/>
    <n v="0"/>
    <n v="1234.98"/>
    <s v="Retail Store"/>
    <s v="Corporate"/>
  </r>
  <r>
    <s v="ORD-00279"/>
    <x v="202"/>
    <x v="4"/>
    <x v="2"/>
    <x v="13"/>
    <n v="7"/>
    <n v="250"/>
    <n v="1750"/>
    <n v="0"/>
    <n v="615.72"/>
    <s v="Wholesale"/>
    <s v="Corporate"/>
  </r>
  <r>
    <s v="ORD-00280"/>
    <x v="15"/>
    <x v="0"/>
    <x v="2"/>
    <x v="6"/>
    <n v="10"/>
    <n v="600"/>
    <n v="6000"/>
    <n v="0"/>
    <n v="1858.72"/>
    <s v="Wholesale"/>
    <s v="Consumer"/>
  </r>
  <r>
    <s v="ORD-00281"/>
    <x v="203"/>
    <x v="1"/>
    <x v="1"/>
    <x v="1"/>
    <n v="1"/>
    <n v="650"/>
    <n v="552.5"/>
    <n v="0.15"/>
    <n v="178.21"/>
    <s v="Retail Store"/>
    <s v="Consumer"/>
  </r>
  <r>
    <s v="ORD-00282"/>
    <x v="117"/>
    <x v="1"/>
    <x v="1"/>
    <x v="14"/>
    <n v="2"/>
    <n v="3200"/>
    <n v="5760"/>
    <n v="0.1"/>
    <n v="1210.83"/>
    <s v="Retail Store"/>
    <s v="Small Business"/>
  </r>
  <r>
    <s v="ORD-00283"/>
    <x v="142"/>
    <x v="3"/>
    <x v="1"/>
    <x v="5"/>
    <n v="8"/>
    <n v="2800"/>
    <n v="20160"/>
    <n v="0.1"/>
    <n v="4790.2299999999996"/>
    <s v="Wholesale"/>
    <s v="Small Business"/>
  </r>
  <r>
    <s v="ORD-00284"/>
    <x v="49"/>
    <x v="0"/>
    <x v="1"/>
    <x v="14"/>
    <n v="4"/>
    <n v="3200"/>
    <n v="12160"/>
    <n v="0.05"/>
    <n v="2071.17"/>
    <s v="Retail Store"/>
    <s v="Corporate"/>
  </r>
  <r>
    <s v="ORD-00285"/>
    <x v="168"/>
    <x v="1"/>
    <x v="1"/>
    <x v="14"/>
    <n v="3"/>
    <n v="3200"/>
    <n v="8640"/>
    <n v="0.1"/>
    <n v="1616.91"/>
    <s v="Retail Store"/>
    <s v="Corporate"/>
  </r>
  <r>
    <s v="ORD-00286"/>
    <x v="204"/>
    <x v="2"/>
    <x v="1"/>
    <x v="16"/>
    <n v="2"/>
    <n v="400"/>
    <n v="760"/>
    <n v="0.05"/>
    <n v="105.87"/>
    <s v="Online"/>
    <s v="Corporate"/>
  </r>
  <r>
    <s v="ORD-00287"/>
    <x v="205"/>
    <x v="3"/>
    <x v="3"/>
    <x v="4"/>
    <n v="5"/>
    <n v="1800"/>
    <n v="7200"/>
    <n v="0.2"/>
    <n v="409.1"/>
    <s v="Wholesale"/>
    <s v="Consumer"/>
  </r>
  <r>
    <s v="ORD-00288"/>
    <x v="120"/>
    <x v="0"/>
    <x v="0"/>
    <x v="0"/>
    <n v="5"/>
    <n v="1200"/>
    <n v="5400"/>
    <n v="0.1"/>
    <n v="1946.39"/>
    <s v="Online"/>
    <s v="Consumer"/>
  </r>
  <r>
    <s v="ORD-00289"/>
    <x v="206"/>
    <x v="1"/>
    <x v="0"/>
    <x v="12"/>
    <n v="9"/>
    <n v="700"/>
    <n v="6300"/>
    <n v="0"/>
    <n v="1298.46"/>
    <s v="Wholesale"/>
    <s v="Consumer"/>
  </r>
  <r>
    <s v="ORD-00290"/>
    <x v="96"/>
    <x v="3"/>
    <x v="2"/>
    <x v="13"/>
    <n v="3"/>
    <n v="250"/>
    <n v="750"/>
    <n v="0"/>
    <n v="253.44"/>
    <s v="Wholesale"/>
    <s v="Corporate"/>
  </r>
  <r>
    <s v="ORD-00291"/>
    <x v="207"/>
    <x v="3"/>
    <x v="2"/>
    <x v="9"/>
    <n v="4"/>
    <n v="450"/>
    <n v="1440"/>
    <n v="0.2"/>
    <n v="91.17"/>
    <s v="Retail Store"/>
    <s v="Consumer"/>
  </r>
  <r>
    <s v="ORD-00292"/>
    <x v="72"/>
    <x v="3"/>
    <x v="3"/>
    <x v="4"/>
    <n v="3"/>
    <n v="1800"/>
    <n v="5130"/>
    <n v="0.05"/>
    <n v="1649.97"/>
    <s v="Retail Store"/>
    <s v="Consumer"/>
  </r>
  <r>
    <s v="ORD-00293"/>
    <x v="84"/>
    <x v="4"/>
    <x v="1"/>
    <x v="16"/>
    <n v="8"/>
    <n v="400"/>
    <n v="3200"/>
    <n v="0"/>
    <n v="810.62"/>
    <s v="Online"/>
    <s v="Consumer"/>
  </r>
  <r>
    <s v="ORD-00294"/>
    <x v="207"/>
    <x v="3"/>
    <x v="3"/>
    <x v="4"/>
    <n v="7"/>
    <n v="1800"/>
    <n v="12600"/>
    <n v="0"/>
    <n v="4163.7299999999996"/>
    <s v="Wholesale"/>
    <s v="Small Business"/>
  </r>
  <r>
    <s v="ORD-00295"/>
    <x v="179"/>
    <x v="3"/>
    <x v="1"/>
    <x v="1"/>
    <n v="10"/>
    <n v="650"/>
    <n v="5850"/>
    <n v="0.1"/>
    <n v="2147.69"/>
    <s v="Online"/>
    <s v="Consumer"/>
  </r>
  <r>
    <s v="ORD-00296"/>
    <x v="134"/>
    <x v="1"/>
    <x v="1"/>
    <x v="16"/>
    <n v="9"/>
    <n v="400"/>
    <n v="3060"/>
    <n v="0.15"/>
    <n v="313"/>
    <s v="Online"/>
    <s v="Corporate"/>
  </r>
  <r>
    <s v="ORD-00297"/>
    <x v="108"/>
    <x v="0"/>
    <x v="3"/>
    <x v="4"/>
    <n v="10"/>
    <n v="1800"/>
    <n v="14400"/>
    <n v="0.2"/>
    <n v="-92.97"/>
    <s v="Retail Store"/>
    <s v="Consumer"/>
  </r>
  <r>
    <s v="ORD-00298"/>
    <x v="155"/>
    <x v="0"/>
    <x v="3"/>
    <x v="11"/>
    <n v="6"/>
    <n v="7000"/>
    <n v="33600"/>
    <n v="0.2"/>
    <n v="-812.64"/>
    <s v="Retail Store"/>
    <s v="Corporate"/>
  </r>
  <r>
    <s v="ORD-00299"/>
    <x v="208"/>
    <x v="1"/>
    <x v="0"/>
    <x v="12"/>
    <n v="9"/>
    <n v="700"/>
    <n v="6300"/>
    <n v="0"/>
    <n v="2135.35"/>
    <s v="Online"/>
    <s v="Small Business"/>
  </r>
  <r>
    <s v="ORD-00300"/>
    <x v="209"/>
    <x v="4"/>
    <x v="3"/>
    <x v="4"/>
    <n v="5"/>
    <n v="1800"/>
    <n v="8550"/>
    <n v="0.05"/>
    <n v="3564.76"/>
    <s v="Wholesale"/>
    <s v="Small Business"/>
  </r>
  <r>
    <s v="ORD-00301"/>
    <x v="169"/>
    <x v="1"/>
    <x v="0"/>
    <x v="12"/>
    <n v="7"/>
    <n v="700"/>
    <n v="4900"/>
    <n v="0"/>
    <n v="1497.29"/>
    <s v="Online"/>
    <s v="Corporate"/>
  </r>
  <r>
    <s v="ORD-00302"/>
    <x v="165"/>
    <x v="4"/>
    <x v="0"/>
    <x v="0"/>
    <n v="8"/>
    <n v="1200"/>
    <n v="9600"/>
    <n v="0"/>
    <n v="2951.08"/>
    <s v="Wholesale"/>
    <s v="Consumer"/>
  </r>
  <r>
    <s v="ORD-00303"/>
    <x v="210"/>
    <x v="3"/>
    <x v="1"/>
    <x v="16"/>
    <n v="1"/>
    <n v="400"/>
    <n v="380"/>
    <n v="0.05"/>
    <n v="56.48"/>
    <s v="Wholesale"/>
    <s v="Corporate"/>
  </r>
  <r>
    <s v="ORD-00304"/>
    <x v="211"/>
    <x v="1"/>
    <x v="0"/>
    <x v="12"/>
    <n v="3"/>
    <n v="700"/>
    <n v="1680"/>
    <n v="0.2"/>
    <n v="448.7"/>
    <s v="Wholesale"/>
    <s v="Consumer"/>
  </r>
  <r>
    <s v="ORD-00305"/>
    <x v="212"/>
    <x v="3"/>
    <x v="0"/>
    <x v="2"/>
    <n v="8"/>
    <n v="3200"/>
    <n v="20480"/>
    <n v="0.2"/>
    <n v="6212.37"/>
    <s v="Retail Store"/>
    <s v="Small Business"/>
  </r>
  <r>
    <s v="ORD-00306"/>
    <x v="196"/>
    <x v="1"/>
    <x v="2"/>
    <x v="6"/>
    <n v="3"/>
    <n v="600"/>
    <n v="1530"/>
    <n v="0.15"/>
    <n v="218.78"/>
    <s v="Online"/>
    <s v="Consumer"/>
  </r>
  <r>
    <s v="ORD-00307"/>
    <x v="173"/>
    <x v="4"/>
    <x v="3"/>
    <x v="11"/>
    <n v="1"/>
    <n v="7000"/>
    <n v="5600"/>
    <n v="0.2"/>
    <n v="1264.29"/>
    <s v="Wholesale"/>
    <s v="Small Business"/>
  </r>
  <r>
    <s v="ORD-00308"/>
    <x v="187"/>
    <x v="2"/>
    <x v="1"/>
    <x v="14"/>
    <n v="5"/>
    <n v="3200"/>
    <n v="16000"/>
    <n v="0"/>
    <n v="5961.17"/>
    <s v="Online"/>
    <s v="Small Business"/>
  </r>
  <r>
    <s v="ORD-00309"/>
    <x v="213"/>
    <x v="3"/>
    <x v="3"/>
    <x v="11"/>
    <n v="7"/>
    <n v="7000"/>
    <n v="41650"/>
    <n v="0.15"/>
    <n v="2420.2199999999998"/>
    <s v="Online"/>
    <s v="Consumer"/>
  </r>
  <r>
    <s v="ORD-00310"/>
    <x v="67"/>
    <x v="1"/>
    <x v="0"/>
    <x v="0"/>
    <n v="9"/>
    <n v="1200"/>
    <n v="10800"/>
    <n v="0"/>
    <n v="4696.82"/>
    <s v="Retail Store"/>
    <s v="Corporate"/>
  </r>
  <r>
    <s v="ORD-00311"/>
    <x v="214"/>
    <x v="3"/>
    <x v="1"/>
    <x v="16"/>
    <n v="4"/>
    <n v="400"/>
    <n v="1600"/>
    <n v="0"/>
    <n v="-437.89"/>
    <s v="Wholesale"/>
    <s v="Corporate"/>
  </r>
  <r>
    <s v="ORD-00312"/>
    <x v="13"/>
    <x v="4"/>
    <x v="1"/>
    <x v="16"/>
    <n v="8"/>
    <n v="400"/>
    <n v="3040"/>
    <n v="0.05"/>
    <n v="842.25"/>
    <s v="Wholesale"/>
    <s v="Consumer"/>
  </r>
  <r>
    <s v="ORD-00313"/>
    <x v="215"/>
    <x v="0"/>
    <x v="0"/>
    <x v="10"/>
    <n v="2"/>
    <n v="2500"/>
    <n v="5000"/>
    <n v="0"/>
    <n v="2068.4499999999998"/>
    <s v="Wholesale"/>
    <s v="Consumer"/>
  </r>
  <r>
    <s v="ORD-00314"/>
    <x v="167"/>
    <x v="4"/>
    <x v="0"/>
    <x v="12"/>
    <n v="6"/>
    <n v="700"/>
    <n v="3990"/>
    <n v="0.05"/>
    <n v="564.67999999999995"/>
    <s v="Online"/>
    <s v="Consumer"/>
  </r>
  <r>
    <s v="ORD-00315"/>
    <x v="53"/>
    <x v="4"/>
    <x v="1"/>
    <x v="1"/>
    <n v="3"/>
    <n v="650"/>
    <n v="1657.5"/>
    <n v="0.15"/>
    <n v="211.34"/>
    <s v="Wholesale"/>
    <s v="Small Business"/>
  </r>
  <r>
    <s v="ORD-00316"/>
    <x v="23"/>
    <x v="1"/>
    <x v="2"/>
    <x v="13"/>
    <n v="4"/>
    <n v="250"/>
    <n v="1000"/>
    <n v="0"/>
    <n v="341.71"/>
    <s v="Retail Store"/>
    <s v="Consumer"/>
  </r>
  <r>
    <s v="ORD-00317"/>
    <x v="216"/>
    <x v="4"/>
    <x v="3"/>
    <x v="4"/>
    <n v="7"/>
    <n v="1800"/>
    <n v="12600"/>
    <n v="0"/>
    <n v="5561.4"/>
    <s v="Online"/>
    <s v="Corporate"/>
  </r>
  <r>
    <s v="ORD-00318"/>
    <x v="56"/>
    <x v="1"/>
    <x v="0"/>
    <x v="2"/>
    <n v="7"/>
    <n v="3200"/>
    <n v="20160"/>
    <n v="0.1"/>
    <n v="2430.09"/>
    <s v="Retail Store"/>
    <s v="Corporate"/>
  </r>
  <r>
    <s v="ORD-00319"/>
    <x v="217"/>
    <x v="4"/>
    <x v="3"/>
    <x v="4"/>
    <n v="9"/>
    <n v="12000"/>
    <n v="108000"/>
    <n v="0"/>
    <n v="38955.5"/>
    <s v="Online"/>
    <s v="Small Business"/>
  </r>
  <r>
    <s v="ORD-00320"/>
    <x v="218"/>
    <x v="1"/>
    <x v="1"/>
    <x v="16"/>
    <n v="8"/>
    <n v="400"/>
    <n v="2880"/>
    <n v="0.1"/>
    <n v="1064.73"/>
    <s v="Wholesale"/>
    <s v="Consumer"/>
  </r>
  <r>
    <s v="ORD-00321"/>
    <x v="30"/>
    <x v="1"/>
    <x v="2"/>
    <x v="6"/>
    <n v="2"/>
    <n v="600"/>
    <n v="1200"/>
    <n v="0"/>
    <n v="324.42"/>
    <s v="Wholesale"/>
    <s v="Corporate"/>
  </r>
  <r>
    <s v="ORD-00322"/>
    <x v="128"/>
    <x v="0"/>
    <x v="1"/>
    <x v="5"/>
    <n v="1"/>
    <n v="2800"/>
    <n v="2800"/>
    <n v="0"/>
    <n v="1132.74"/>
    <s v="Wholesale"/>
    <s v="Consumer"/>
  </r>
  <r>
    <s v="ORD-00323"/>
    <x v="80"/>
    <x v="2"/>
    <x v="3"/>
    <x v="4"/>
    <n v="2"/>
    <n v="1800"/>
    <n v="3240"/>
    <n v="0.1"/>
    <n v="300.35000000000002"/>
    <s v="Wholesale"/>
    <s v="Consumer"/>
  </r>
  <r>
    <s v="ORD-00324"/>
    <x v="214"/>
    <x v="2"/>
    <x v="2"/>
    <x v="3"/>
    <n v="1"/>
    <n v="120"/>
    <n v="120"/>
    <n v="0"/>
    <n v="48.5"/>
    <s v="Retail Store"/>
    <s v="Small Business"/>
  </r>
  <r>
    <s v="ORD-00325"/>
    <x v="219"/>
    <x v="3"/>
    <x v="3"/>
    <x v="15"/>
    <n v="5"/>
    <n v="8500"/>
    <n v="42500"/>
    <n v="0"/>
    <n v="17739.48"/>
    <s v="Online"/>
    <s v="Consumer"/>
  </r>
  <r>
    <s v="ORD-00326"/>
    <x v="220"/>
    <x v="0"/>
    <x v="0"/>
    <x v="10"/>
    <n v="4"/>
    <n v="2500"/>
    <n v="8000"/>
    <n v="0.2"/>
    <n v="375.24"/>
    <s v="Wholesale"/>
    <s v="Small Business"/>
  </r>
  <r>
    <s v="ORD-00327"/>
    <x v="160"/>
    <x v="2"/>
    <x v="0"/>
    <x v="10"/>
    <n v="6"/>
    <n v="2500"/>
    <n v="15000"/>
    <n v="0"/>
    <n v="6536.39"/>
    <s v="Online"/>
    <s v="Corporate"/>
  </r>
  <r>
    <s v="ORD-00328"/>
    <x v="221"/>
    <x v="1"/>
    <x v="0"/>
    <x v="7"/>
    <n v="2"/>
    <n v="65000"/>
    <n v="117000"/>
    <n v="0.1"/>
    <n v="27608.52"/>
    <s v="Retail Store"/>
    <s v="Consumer"/>
  </r>
  <r>
    <s v="ORD-00329"/>
    <x v="222"/>
    <x v="4"/>
    <x v="0"/>
    <x v="2"/>
    <n v="6"/>
    <n v="3200"/>
    <n v="17280"/>
    <n v="0.1"/>
    <n v="4329.88"/>
    <s v="Online"/>
    <s v="Consumer"/>
  </r>
  <r>
    <s v="ORD-00330"/>
    <x v="2"/>
    <x v="0"/>
    <x v="0"/>
    <x v="2"/>
    <n v="2"/>
    <n v="3200"/>
    <n v="5760"/>
    <n v="0.1"/>
    <n v="1288.9100000000001"/>
    <s v="Wholesale"/>
    <s v="Corporate"/>
  </r>
  <r>
    <s v="ORD-00331"/>
    <x v="80"/>
    <x v="1"/>
    <x v="2"/>
    <x v="3"/>
    <n v="10"/>
    <n v="120"/>
    <n v="1140"/>
    <n v="0.05"/>
    <n v="321.73"/>
    <s v="Online"/>
    <s v="Corporate"/>
  </r>
  <r>
    <s v="ORD-00332"/>
    <x v="223"/>
    <x v="4"/>
    <x v="3"/>
    <x v="11"/>
    <n v="4"/>
    <n v="7000"/>
    <n v="22400"/>
    <n v="0.2"/>
    <n v="-503.22"/>
    <s v="Wholesale"/>
    <s v="Consumer"/>
  </r>
  <r>
    <s v="ORD-00333"/>
    <x v="196"/>
    <x v="0"/>
    <x v="0"/>
    <x v="12"/>
    <n v="1"/>
    <n v="700"/>
    <n v="700"/>
    <n v="0"/>
    <n v="0"/>
    <s v="Wholesale"/>
    <s v="Corporate"/>
  </r>
  <r>
    <s v="ORD-00334"/>
    <x v="138"/>
    <x v="4"/>
    <x v="3"/>
    <x v="15"/>
    <n v="5"/>
    <n v="8500"/>
    <n v="42500"/>
    <n v="0"/>
    <n v="10329.43"/>
    <s v="Wholesale"/>
    <s v="Consumer"/>
  </r>
  <r>
    <s v="ORD-00335"/>
    <x v="4"/>
    <x v="3"/>
    <x v="2"/>
    <x v="13"/>
    <n v="6"/>
    <n v="250"/>
    <n v="1200"/>
    <n v="0.2"/>
    <n v="362.02"/>
    <s v="Retail Store"/>
    <s v="Consumer"/>
  </r>
  <r>
    <s v="ORD-00336"/>
    <x v="224"/>
    <x v="4"/>
    <x v="0"/>
    <x v="7"/>
    <n v="4"/>
    <n v="65000"/>
    <n v="208000"/>
    <n v="0.2"/>
    <n v="44325.25"/>
    <s v="Online"/>
    <s v="Small Business"/>
  </r>
  <r>
    <s v="ORD-00337"/>
    <x v="148"/>
    <x v="3"/>
    <x v="0"/>
    <x v="12"/>
    <n v="7"/>
    <n v="700"/>
    <n v="4655"/>
    <n v="0.05"/>
    <n v="1828.53"/>
    <s v="Retail Store"/>
    <s v="Consumer"/>
  </r>
  <r>
    <s v="ORD-00338"/>
    <x v="225"/>
    <x v="4"/>
    <x v="2"/>
    <x v="13"/>
    <n v="4"/>
    <n v="250"/>
    <n v="900"/>
    <n v="0.1"/>
    <n v="261.04000000000002"/>
    <s v="Online"/>
    <s v="Consumer"/>
  </r>
  <r>
    <s v="ORD-00339"/>
    <x v="167"/>
    <x v="4"/>
    <x v="0"/>
    <x v="7"/>
    <n v="9"/>
    <n v="65000"/>
    <n v="526500"/>
    <n v="0.1"/>
    <n v="153655.04000000001"/>
    <s v="Wholesale"/>
    <s v="Consumer"/>
  </r>
  <r>
    <s v="ORD-00340"/>
    <x v="103"/>
    <x v="4"/>
    <x v="0"/>
    <x v="0"/>
    <n v="4"/>
    <n v="1200"/>
    <n v="4320"/>
    <n v="0.1"/>
    <n v="896.09"/>
    <s v="Online"/>
    <s v="Small Business"/>
  </r>
  <r>
    <s v="ORD-00341"/>
    <x v="149"/>
    <x v="0"/>
    <x v="3"/>
    <x v="4"/>
    <n v="2"/>
    <n v="1800"/>
    <n v="3240"/>
    <n v="0.1"/>
    <n v="1096.07"/>
    <s v="Wholesale"/>
    <s v="Small Business"/>
  </r>
  <r>
    <s v="ORD-00342"/>
    <x v="226"/>
    <x v="2"/>
    <x v="0"/>
    <x v="0"/>
    <n v="6"/>
    <n v="1200"/>
    <n v="7200"/>
    <n v="0"/>
    <n v="2134.9899999999998"/>
    <s v="Online"/>
    <s v="Consumer"/>
  </r>
  <r>
    <s v="ORD-00343"/>
    <x v="227"/>
    <x v="0"/>
    <x v="0"/>
    <x v="7"/>
    <n v="3"/>
    <n v="65000"/>
    <n v="175500"/>
    <n v="0.1"/>
    <n v="54150.45"/>
    <s v="Online"/>
    <s v="Corporate"/>
  </r>
  <r>
    <s v="ORD-00344"/>
    <x v="101"/>
    <x v="4"/>
    <x v="1"/>
    <x v="16"/>
    <n v="4"/>
    <n v="400"/>
    <n v="1440"/>
    <n v="0.1"/>
    <n v="544.26"/>
    <s v="Online"/>
    <s v="Consumer"/>
  </r>
  <r>
    <s v="ORD-00345"/>
    <x v="228"/>
    <x v="3"/>
    <x v="2"/>
    <x v="6"/>
    <n v="7"/>
    <n v="600"/>
    <n v="3360"/>
    <n v="0.2"/>
    <n v="645.39"/>
    <s v="Wholesale"/>
    <s v="Corporate"/>
  </r>
  <r>
    <s v="ORD-00346"/>
    <x v="171"/>
    <x v="4"/>
    <x v="2"/>
    <x v="3"/>
    <n v="8"/>
    <n v="120"/>
    <n v="816"/>
    <n v="0.15"/>
    <n v="216.84"/>
    <s v="Wholesale"/>
    <s v="Consumer"/>
  </r>
  <r>
    <s v="ORD-00347"/>
    <x v="229"/>
    <x v="1"/>
    <x v="1"/>
    <x v="1"/>
    <n v="3"/>
    <n v="650"/>
    <n v="1560"/>
    <n v="0.2"/>
    <n v="49.16"/>
    <s v="Wholesale"/>
    <s v="Consumer"/>
  </r>
  <r>
    <s v="ORD-00348"/>
    <x v="153"/>
    <x v="1"/>
    <x v="0"/>
    <x v="7"/>
    <n v="9"/>
    <n v="65000"/>
    <n v="585000"/>
    <n v="0"/>
    <n v="257376.24"/>
    <s v="Wholesale"/>
    <s v="Consumer"/>
  </r>
  <r>
    <s v="ORD-00349"/>
    <x v="230"/>
    <x v="0"/>
    <x v="2"/>
    <x v="13"/>
    <n v="10"/>
    <n v="250"/>
    <n v="2250"/>
    <n v="0.1"/>
    <n v="-77.97"/>
    <s v="Retail Store"/>
    <s v="Small Business"/>
  </r>
  <r>
    <s v="ORD-00350"/>
    <x v="231"/>
    <x v="0"/>
    <x v="0"/>
    <x v="0"/>
    <n v="2"/>
    <n v="1200"/>
    <n v="2280"/>
    <n v="0.05"/>
    <n v="483.11"/>
    <s v="Retail Store"/>
    <s v="Small Business"/>
  </r>
  <r>
    <s v="ORD-00351"/>
    <x v="219"/>
    <x v="1"/>
    <x v="0"/>
    <x v="7"/>
    <n v="4"/>
    <n v="65000"/>
    <n v="208000"/>
    <n v="0.2"/>
    <n v="45876.43"/>
    <s v="Online"/>
    <s v="Consumer"/>
  </r>
  <r>
    <s v="ORD-00352"/>
    <x v="232"/>
    <x v="0"/>
    <x v="3"/>
    <x v="15"/>
    <n v="9"/>
    <n v="8500"/>
    <n v="61200"/>
    <n v="0.2"/>
    <n v="12099.62"/>
    <s v="Online"/>
    <s v="Consumer"/>
  </r>
  <r>
    <s v="ORD-00353"/>
    <x v="24"/>
    <x v="3"/>
    <x v="1"/>
    <x v="5"/>
    <n v="5"/>
    <n v="2800"/>
    <n v="13300"/>
    <n v="0.05"/>
    <n v="4501.05"/>
    <s v="Wholesale"/>
    <s v="Small Business"/>
  </r>
  <r>
    <s v="ORD-00354"/>
    <x v="184"/>
    <x v="4"/>
    <x v="1"/>
    <x v="5"/>
    <n v="2"/>
    <n v="2800"/>
    <n v="5600"/>
    <n v="0"/>
    <n v="2440.73"/>
    <s v="Retail Store"/>
    <s v="Small Business"/>
  </r>
  <r>
    <s v="ORD-00355"/>
    <x v="226"/>
    <x v="3"/>
    <x v="1"/>
    <x v="16"/>
    <n v="1"/>
    <n v="400"/>
    <n v="380"/>
    <n v="0.05"/>
    <n v="83.55"/>
    <s v="Online"/>
    <s v="Consumer"/>
  </r>
  <r>
    <s v="ORD-00356"/>
    <x v="152"/>
    <x v="0"/>
    <x v="3"/>
    <x v="4"/>
    <n v="10"/>
    <n v="1800"/>
    <n v="14400"/>
    <n v="0.2"/>
    <n v="1582.86"/>
    <s v="Retail Store"/>
    <s v="Small Business"/>
  </r>
  <r>
    <s v="ORD-00357"/>
    <x v="169"/>
    <x v="1"/>
    <x v="3"/>
    <x v="4"/>
    <n v="8"/>
    <n v="12000"/>
    <n v="86400"/>
    <n v="0.1"/>
    <n v="20126.189999999999"/>
    <s v="Online"/>
    <s v="Small Business"/>
  </r>
  <r>
    <s v="ORD-00358"/>
    <x v="183"/>
    <x v="0"/>
    <x v="2"/>
    <x v="9"/>
    <n v="7"/>
    <n v="450"/>
    <n v="3150"/>
    <n v="0"/>
    <n v="762.71"/>
    <s v="Retail Store"/>
    <s v="Corporate"/>
  </r>
  <r>
    <s v="ORD-00359"/>
    <x v="233"/>
    <x v="0"/>
    <x v="0"/>
    <x v="17"/>
    <n v="4"/>
    <n v="14000"/>
    <n v="50400"/>
    <n v="0.1"/>
    <n v="6295.76"/>
    <s v="Retail Store"/>
    <s v="Corporate"/>
  </r>
  <r>
    <s v="ORD-00360"/>
    <x v="234"/>
    <x v="4"/>
    <x v="0"/>
    <x v="17"/>
    <n v="2"/>
    <n v="14000"/>
    <n v="25200"/>
    <n v="0.1"/>
    <n v="5741.66"/>
    <s v="Retail Store"/>
    <s v="Consumer"/>
  </r>
  <r>
    <s v="ORD-00362"/>
    <x v="112"/>
    <x v="2"/>
    <x v="3"/>
    <x v="11"/>
    <n v="4"/>
    <n v="7000"/>
    <n v="23800"/>
    <n v="0.15"/>
    <n v="5884.6"/>
    <s v="Wholesale"/>
    <s v="Consumer"/>
  </r>
  <r>
    <s v="ORD-00363"/>
    <x v="235"/>
    <x v="4"/>
    <x v="3"/>
    <x v="4"/>
    <n v="10"/>
    <n v="1800"/>
    <n v="18000"/>
    <n v="0"/>
    <n v="7596.49"/>
    <s v="Retail Store"/>
    <s v="Corporate"/>
  </r>
  <r>
    <s v="ORD-00364"/>
    <x v="236"/>
    <x v="4"/>
    <x v="0"/>
    <x v="2"/>
    <n v="3"/>
    <n v="3200"/>
    <n v="8640"/>
    <n v="0.1"/>
    <n v="2100.9299999999998"/>
    <s v="Retail Store"/>
    <s v="Consumer"/>
  </r>
  <r>
    <s v="ORD-00365"/>
    <x v="85"/>
    <x v="0"/>
    <x v="0"/>
    <x v="0"/>
    <n v="5"/>
    <n v="1200"/>
    <n v="4800"/>
    <n v="0.2"/>
    <n v="819.43"/>
    <s v="Wholesale"/>
    <s v="Corporate"/>
  </r>
  <r>
    <s v="ORD-00366"/>
    <x v="207"/>
    <x v="2"/>
    <x v="2"/>
    <x v="6"/>
    <n v="7"/>
    <n v="600"/>
    <n v="3990"/>
    <n v="0.05"/>
    <n v="572.1"/>
    <s v="Online"/>
    <s v="Small Business"/>
  </r>
  <r>
    <s v="ORD-00367"/>
    <x v="228"/>
    <x v="1"/>
    <x v="2"/>
    <x v="9"/>
    <n v="9"/>
    <n v="450"/>
    <n v="3442.5"/>
    <n v="0.15"/>
    <n v="861.4"/>
    <s v="Wholesale"/>
    <s v="Consumer"/>
  </r>
  <r>
    <s v="ORD-00368"/>
    <x v="237"/>
    <x v="1"/>
    <x v="3"/>
    <x v="4"/>
    <n v="9"/>
    <n v="12000"/>
    <n v="97200"/>
    <n v="0.1"/>
    <n v="34887.800000000003"/>
    <s v="Wholesale"/>
    <s v="Corporate"/>
  </r>
  <r>
    <s v="ORD-00369"/>
    <x v="56"/>
    <x v="3"/>
    <x v="1"/>
    <x v="1"/>
    <n v="5"/>
    <n v="650"/>
    <n v="2600"/>
    <n v="0.2"/>
    <n v="292.81"/>
    <s v="Online"/>
    <s v="Consumer"/>
  </r>
  <r>
    <s v="ORD-00370"/>
    <x v="7"/>
    <x v="3"/>
    <x v="2"/>
    <x v="13"/>
    <n v="5"/>
    <n v="250"/>
    <n v="1062.5"/>
    <n v="0.15"/>
    <n v="110.3"/>
    <s v="Online"/>
    <s v="Small Business"/>
  </r>
  <r>
    <s v="ORD-00371"/>
    <x v="128"/>
    <x v="1"/>
    <x v="1"/>
    <x v="14"/>
    <n v="1"/>
    <n v="3200"/>
    <n v="2880"/>
    <n v="0.1"/>
    <n v="851.31"/>
    <s v="Wholesale"/>
    <s v="Small Business"/>
  </r>
  <r>
    <s v="ORD-00372"/>
    <x v="30"/>
    <x v="0"/>
    <x v="2"/>
    <x v="6"/>
    <n v="6"/>
    <n v="600"/>
    <n v="3600"/>
    <n v="0"/>
    <n v="1240.5999999999999"/>
    <s v="Wholesale"/>
    <s v="Corporate"/>
  </r>
  <r>
    <s v="ORD-00373"/>
    <x v="95"/>
    <x v="5"/>
    <x v="0"/>
    <x v="17"/>
    <n v="1"/>
    <n v="14000"/>
    <n v="12600"/>
    <n v="0.1"/>
    <n v="2399.41"/>
    <s v="Online"/>
    <s v="Consumer"/>
  </r>
  <r>
    <s v="ORD-00374"/>
    <x v="30"/>
    <x v="1"/>
    <x v="0"/>
    <x v="0"/>
    <n v="3"/>
    <n v="1200"/>
    <n v="3420"/>
    <n v="0.05"/>
    <n v="-262.07"/>
    <s v="Wholesale"/>
    <s v="Consumer"/>
  </r>
  <r>
    <s v="ORD-00375"/>
    <x v="238"/>
    <x v="4"/>
    <x v="3"/>
    <x v="15"/>
    <n v="10"/>
    <n v="8500"/>
    <n v="85000"/>
    <n v="0"/>
    <n v="17747.169999999998"/>
    <s v="Retail Store"/>
    <s v="Consumer"/>
  </r>
  <r>
    <s v="ORD-00376"/>
    <x v="239"/>
    <x v="3"/>
    <x v="2"/>
    <x v="8"/>
    <n v="5"/>
    <n v="180"/>
    <n v="855"/>
    <n v="0.05"/>
    <n v="290.93"/>
    <s v="Online"/>
    <s v="Small Business"/>
  </r>
  <r>
    <s v="ORD-00377"/>
    <x v="240"/>
    <x v="2"/>
    <x v="0"/>
    <x v="10"/>
    <n v="7"/>
    <n v="2500"/>
    <n v="16625"/>
    <n v="0.05"/>
    <n v="5121.3999999999996"/>
    <s v="Online"/>
    <s v="Corporate"/>
  </r>
  <r>
    <s v="ORD-00378"/>
    <x v="151"/>
    <x v="1"/>
    <x v="2"/>
    <x v="9"/>
    <n v="4"/>
    <n v="450"/>
    <n v="1440"/>
    <n v="0.2"/>
    <n v="113.83"/>
    <s v="Online"/>
    <s v="Consumer"/>
  </r>
  <r>
    <s v="ORD-00379"/>
    <x v="12"/>
    <x v="3"/>
    <x v="3"/>
    <x v="11"/>
    <n v="5"/>
    <n v="7000"/>
    <n v="33250"/>
    <n v="0.05"/>
    <n v="13232.56"/>
    <s v="Wholesale"/>
    <s v="Small Business"/>
  </r>
  <r>
    <s v="ORD-00380"/>
    <x v="241"/>
    <x v="1"/>
    <x v="0"/>
    <x v="0"/>
    <n v="6"/>
    <n v="1200"/>
    <n v="6840"/>
    <n v="0.05"/>
    <n v="2227.12"/>
    <s v="Online"/>
    <s v="Corporate"/>
  </r>
  <r>
    <s v="ORD-00381"/>
    <x v="89"/>
    <x v="4"/>
    <x v="0"/>
    <x v="0"/>
    <n v="7"/>
    <n v="1200"/>
    <n v="7140"/>
    <n v="0.15"/>
    <n v="1413.7"/>
    <s v="Wholesale"/>
    <s v="Consumer"/>
  </r>
  <r>
    <s v="ORD-00382"/>
    <x v="242"/>
    <x v="0"/>
    <x v="3"/>
    <x v="11"/>
    <n v="2"/>
    <n v="7000"/>
    <n v="11200"/>
    <n v="0.2"/>
    <n v="352.45"/>
    <s v="Retail Store"/>
    <s v="Corporate"/>
  </r>
  <r>
    <s v="ORD-00383"/>
    <x v="121"/>
    <x v="4"/>
    <x v="2"/>
    <x v="6"/>
    <n v="7"/>
    <n v="600"/>
    <n v="3990"/>
    <n v="0.05"/>
    <n v="1623.11"/>
    <s v="Wholesale"/>
    <s v="Corporate"/>
  </r>
  <r>
    <s v="ORD-00384"/>
    <x v="243"/>
    <x v="0"/>
    <x v="1"/>
    <x v="16"/>
    <n v="2"/>
    <n v="400"/>
    <n v="640"/>
    <n v="0.2"/>
    <n v="108.06"/>
    <s v="Retail Store"/>
    <s v="Corporate"/>
  </r>
  <r>
    <s v="ORD-00385"/>
    <x v="57"/>
    <x v="0"/>
    <x v="0"/>
    <x v="17"/>
    <n v="1"/>
    <n v="14000"/>
    <n v="12600"/>
    <n v="0.1"/>
    <n v="3837.59"/>
    <s v="Retail Store"/>
    <s v="Corporate"/>
  </r>
  <r>
    <s v="ORD-00386"/>
    <x v="64"/>
    <x v="0"/>
    <x v="2"/>
    <x v="3"/>
    <n v="1"/>
    <n v="120"/>
    <n v="120"/>
    <n v="0"/>
    <n v="30.37"/>
    <s v="Wholesale"/>
    <s v="Small Business"/>
  </r>
  <r>
    <s v="ORD-00387"/>
    <x v="208"/>
    <x v="3"/>
    <x v="2"/>
    <x v="6"/>
    <n v="5"/>
    <n v="600"/>
    <n v="2400"/>
    <n v="0.2"/>
    <n v="187.28"/>
    <s v="Online"/>
    <s v="Small Business"/>
  </r>
  <r>
    <s v="ORD-00388"/>
    <x v="189"/>
    <x v="4"/>
    <x v="0"/>
    <x v="17"/>
    <n v="3"/>
    <n v="14000"/>
    <n v="37800"/>
    <n v="0.1"/>
    <n v="8778.41"/>
    <s v="Online"/>
    <s v="Corporate"/>
  </r>
  <r>
    <s v="ORD-00389"/>
    <x v="117"/>
    <x v="4"/>
    <x v="1"/>
    <x v="5"/>
    <n v="5"/>
    <n v="2800"/>
    <n v="12600"/>
    <n v="0.1"/>
    <n v="3364.55"/>
    <s v="Retail Store"/>
    <s v="Consumer"/>
  </r>
  <r>
    <s v="ORD-00390"/>
    <x v="211"/>
    <x v="1"/>
    <x v="0"/>
    <x v="0"/>
    <n v="9"/>
    <n v="1200"/>
    <n v="9720"/>
    <n v="0.1"/>
    <n v="1615.37"/>
    <s v="Online"/>
    <s v="Small Business"/>
  </r>
  <r>
    <s v="ORD-00391"/>
    <x v="244"/>
    <x v="4"/>
    <x v="1"/>
    <x v="16"/>
    <n v="4"/>
    <n v="400"/>
    <n v="1360"/>
    <n v="0.15"/>
    <n v="64.25"/>
    <s v="Online"/>
    <s v="Consumer"/>
  </r>
  <r>
    <s v="ORD-00392"/>
    <x v="155"/>
    <x v="0"/>
    <x v="1"/>
    <x v="14"/>
    <n v="7"/>
    <n v="3200"/>
    <n v="19040"/>
    <n v="0.15"/>
    <n v="3691.55"/>
    <s v="Online"/>
    <s v="Consumer"/>
  </r>
  <r>
    <s v="ORD-00393"/>
    <x v="186"/>
    <x v="2"/>
    <x v="3"/>
    <x v="4"/>
    <n v="2"/>
    <n v="1800"/>
    <n v="3060"/>
    <n v="0.15"/>
    <n v="937.77"/>
    <s v="Wholesale"/>
    <s v="Consumer"/>
  </r>
  <r>
    <s v="ORD-00394"/>
    <x v="25"/>
    <x v="2"/>
    <x v="1"/>
    <x v="1"/>
    <n v="8"/>
    <n v="650"/>
    <n v="5200"/>
    <n v="0"/>
    <n v="2009.67"/>
    <s v="Wholesale"/>
    <s v="Small Business"/>
  </r>
  <r>
    <s v="ORD-00395"/>
    <x v="245"/>
    <x v="1"/>
    <x v="0"/>
    <x v="0"/>
    <n v="8"/>
    <n v="1200"/>
    <n v="9120"/>
    <n v="0.05"/>
    <n v="-457.45"/>
    <s v="Online"/>
    <s v="Small Business"/>
  </r>
  <r>
    <s v="ORD-00396"/>
    <x v="246"/>
    <x v="4"/>
    <x v="3"/>
    <x v="4"/>
    <n v="10"/>
    <n v="12000"/>
    <n v="120000"/>
    <n v="0"/>
    <n v="46526.15"/>
    <s v="Retail Store"/>
    <s v="Consumer"/>
  </r>
  <r>
    <s v="ORD-00397"/>
    <x v="128"/>
    <x v="3"/>
    <x v="0"/>
    <x v="2"/>
    <n v="6"/>
    <n v="3200"/>
    <n v="17280"/>
    <n v="0.1"/>
    <n v="2319.65"/>
    <s v="Online"/>
    <s v="Corporate"/>
  </r>
  <r>
    <s v="ORD-00398"/>
    <x v="124"/>
    <x v="0"/>
    <x v="1"/>
    <x v="1"/>
    <n v="9"/>
    <n v="650"/>
    <n v="5850"/>
    <n v="0"/>
    <n v="2445.4499999999998"/>
    <s v="Retail Store"/>
    <s v="Consumer"/>
  </r>
  <r>
    <s v="ORD-00399"/>
    <x v="60"/>
    <x v="0"/>
    <x v="3"/>
    <x v="11"/>
    <n v="3"/>
    <n v="7000"/>
    <n v="21000"/>
    <n v="0"/>
    <n v="-2730.64"/>
    <s v="Retail Store"/>
    <s v="Corporate"/>
  </r>
  <r>
    <s v="ORD-00400"/>
    <x v="177"/>
    <x v="2"/>
    <x v="3"/>
    <x v="11"/>
    <n v="10"/>
    <n v="7000"/>
    <n v="70000"/>
    <n v="0"/>
    <n v="21319.62"/>
    <s v="Online"/>
    <s v="Consumer"/>
  </r>
  <r>
    <s v="ORD-00401"/>
    <x v="218"/>
    <x v="2"/>
    <x v="0"/>
    <x v="17"/>
    <n v="8"/>
    <n v="14000"/>
    <n v="89600"/>
    <n v="0.2"/>
    <n v="4816.67"/>
    <s v="Retail Store"/>
    <s v="Consumer"/>
  </r>
  <r>
    <s v="ORD-00402"/>
    <x v="181"/>
    <x v="1"/>
    <x v="0"/>
    <x v="7"/>
    <n v="8"/>
    <n v="65000"/>
    <n v="468000"/>
    <n v="0.1"/>
    <n v="84427.41"/>
    <s v="Retail Store"/>
    <s v="Small Business"/>
  </r>
  <r>
    <s v="ORD-00403"/>
    <x v="223"/>
    <x v="4"/>
    <x v="0"/>
    <x v="17"/>
    <n v="3"/>
    <n v="14000"/>
    <n v="35700"/>
    <n v="0.15"/>
    <n v="10811.39"/>
    <s v="Wholesale"/>
    <s v="Consumer"/>
  </r>
  <r>
    <s v="ORD-00404"/>
    <x v="103"/>
    <x v="1"/>
    <x v="1"/>
    <x v="5"/>
    <n v="7"/>
    <n v="2800"/>
    <n v="19600"/>
    <n v="0"/>
    <n v="8327.17"/>
    <s v="Retail Store"/>
    <s v="Small Business"/>
  </r>
  <r>
    <s v="ORD-00405"/>
    <x v="247"/>
    <x v="2"/>
    <x v="1"/>
    <x v="14"/>
    <n v="9"/>
    <n v="3200"/>
    <n v="28800"/>
    <n v="0"/>
    <n v="7917.24"/>
    <s v="Wholesale"/>
    <s v="Consumer"/>
  </r>
  <r>
    <s v="ORD-00406"/>
    <x v="64"/>
    <x v="4"/>
    <x v="3"/>
    <x v="4"/>
    <n v="3"/>
    <n v="12000"/>
    <n v="28800"/>
    <n v="0.2"/>
    <n v="6372.07"/>
    <s v="Retail Store"/>
    <s v="Small Business"/>
  </r>
  <r>
    <s v="ORD-00407"/>
    <x v="53"/>
    <x v="4"/>
    <x v="3"/>
    <x v="11"/>
    <n v="5"/>
    <n v="7000"/>
    <n v="35000"/>
    <n v="0"/>
    <n v="12690.19"/>
    <s v="Online"/>
    <s v="Corporate"/>
  </r>
  <r>
    <s v="ORD-00408"/>
    <x v="68"/>
    <x v="1"/>
    <x v="2"/>
    <x v="3"/>
    <n v="3"/>
    <n v="120"/>
    <n v="306"/>
    <n v="0.15"/>
    <n v="81.45"/>
    <s v="Retail Store"/>
    <s v="Small Business"/>
  </r>
  <r>
    <s v="ORD-00409"/>
    <x v="65"/>
    <x v="2"/>
    <x v="1"/>
    <x v="16"/>
    <n v="4"/>
    <n v="400"/>
    <n v="1280"/>
    <n v="0.2"/>
    <n v="318.85000000000002"/>
    <s v="Wholesale"/>
    <s v="Corporate"/>
  </r>
  <r>
    <s v="ORD-00410"/>
    <x v="243"/>
    <x v="4"/>
    <x v="3"/>
    <x v="4"/>
    <n v="8"/>
    <n v="12000"/>
    <n v="86400"/>
    <n v="0.1"/>
    <n v="25817.759999999998"/>
    <s v="Online"/>
    <s v="Consumer"/>
  </r>
  <r>
    <s v="ORD-00411"/>
    <x v="83"/>
    <x v="4"/>
    <x v="3"/>
    <x v="4"/>
    <n v="3"/>
    <n v="12000"/>
    <n v="36000"/>
    <n v="0"/>
    <n v="7799.93"/>
    <s v="Retail Store"/>
    <s v="Corporate"/>
  </r>
  <r>
    <s v="ORD-00412"/>
    <x v="248"/>
    <x v="0"/>
    <x v="3"/>
    <x v="15"/>
    <n v="5"/>
    <n v="8500"/>
    <n v="38250"/>
    <n v="0.1"/>
    <n v="6112.97"/>
    <s v="Online"/>
    <s v="Consumer"/>
  </r>
  <r>
    <s v="ORD-00413"/>
    <x v="187"/>
    <x v="0"/>
    <x v="2"/>
    <x v="6"/>
    <n v="1"/>
    <n v="600"/>
    <n v="510"/>
    <n v="0.15"/>
    <n v="124.75"/>
    <s v="Online"/>
    <s v="Corporate"/>
  </r>
  <r>
    <s v="ORD-00414"/>
    <x v="249"/>
    <x v="0"/>
    <x v="2"/>
    <x v="9"/>
    <n v="5"/>
    <n v="450"/>
    <n v="2250"/>
    <n v="0"/>
    <n v="882.84"/>
    <s v="Online"/>
    <s v="Corporate"/>
  </r>
  <r>
    <s v="ORD-00415"/>
    <x v="250"/>
    <x v="4"/>
    <x v="2"/>
    <x v="3"/>
    <n v="7"/>
    <n v="120"/>
    <n v="798"/>
    <n v="0.05"/>
    <n v="133.13999999999999"/>
    <s v="Wholesale"/>
    <s v="Consumer"/>
  </r>
  <r>
    <s v="ORD-00416"/>
    <x v="27"/>
    <x v="3"/>
    <x v="3"/>
    <x v="15"/>
    <n v="8"/>
    <n v="8500"/>
    <n v="61200"/>
    <n v="0.1"/>
    <n v="16934.43"/>
    <s v="Online"/>
    <s v="Small Business"/>
  </r>
  <r>
    <s v="ORD-00417"/>
    <x v="251"/>
    <x v="4"/>
    <x v="1"/>
    <x v="14"/>
    <n v="8"/>
    <n v="3200"/>
    <n v="21760"/>
    <n v="0.15"/>
    <n v="5855.03"/>
    <s v="Wholesale"/>
    <s v="Small Business"/>
  </r>
  <r>
    <s v="ORD-00418"/>
    <x v="57"/>
    <x v="3"/>
    <x v="1"/>
    <x v="14"/>
    <n v="7"/>
    <n v="3200"/>
    <n v="21280"/>
    <n v="0.05"/>
    <n v="7280.86"/>
    <s v="Online"/>
    <s v="Small Business"/>
  </r>
  <r>
    <s v="ORD-00419"/>
    <x v="252"/>
    <x v="4"/>
    <x v="3"/>
    <x v="15"/>
    <n v="7"/>
    <n v="8500"/>
    <n v="59500"/>
    <n v="0"/>
    <n v="14711.41"/>
    <s v="Online"/>
    <s v="Small Business"/>
  </r>
  <r>
    <s v="ORD-00420"/>
    <x v="50"/>
    <x v="4"/>
    <x v="0"/>
    <x v="2"/>
    <n v="7"/>
    <n v="3200"/>
    <n v="22400"/>
    <n v="0"/>
    <n v="9060.11"/>
    <s v="Online"/>
    <s v="Consumer"/>
  </r>
  <r>
    <s v="ORD-00421"/>
    <x v="252"/>
    <x v="0"/>
    <x v="2"/>
    <x v="9"/>
    <n v="5"/>
    <n v="450"/>
    <n v="1912.5"/>
    <n v="0.15"/>
    <n v="168"/>
    <s v="Wholesale"/>
    <s v="Small Business"/>
  </r>
  <r>
    <s v="ORD-00422"/>
    <x v="193"/>
    <x v="4"/>
    <x v="0"/>
    <x v="10"/>
    <n v="2"/>
    <n v="2500"/>
    <n v="4500"/>
    <n v="0.1"/>
    <n v="1355.49"/>
    <s v="Wholesale"/>
    <s v="Small Business"/>
  </r>
  <r>
    <s v="ORD-00423"/>
    <x v="183"/>
    <x v="3"/>
    <x v="2"/>
    <x v="13"/>
    <n v="3"/>
    <n v="250"/>
    <n v="637.5"/>
    <n v="0.15"/>
    <n v="83.01"/>
    <s v="Retail Store"/>
    <s v="Corporate"/>
  </r>
  <r>
    <s v="ORD-00424"/>
    <x v="46"/>
    <x v="2"/>
    <x v="3"/>
    <x v="4"/>
    <n v="1"/>
    <n v="1800"/>
    <n v="1710"/>
    <n v="0.05"/>
    <n v="714.75"/>
    <s v="Online"/>
    <s v="Consumer"/>
  </r>
  <r>
    <s v="ORD-00425"/>
    <x v="253"/>
    <x v="1"/>
    <x v="3"/>
    <x v="15"/>
    <n v="5"/>
    <n v="8500"/>
    <n v="42500"/>
    <n v="0"/>
    <n v="17615.37"/>
    <s v="Online"/>
    <s v="Consumer"/>
  </r>
  <r>
    <s v="ORD-00426"/>
    <x v="152"/>
    <x v="3"/>
    <x v="1"/>
    <x v="5"/>
    <n v="3"/>
    <n v="2800"/>
    <n v="7560"/>
    <n v="0.1"/>
    <n v="1478.86"/>
    <s v="Wholesale"/>
    <s v="Small Business"/>
  </r>
  <r>
    <s v="ORD-00427"/>
    <x v="254"/>
    <x v="2"/>
    <x v="1"/>
    <x v="16"/>
    <n v="9"/>
    <n v="400"/>
    <n v="3600"/>
    <n v="0"/>
    <n v="1162.23"/>
    <s v="Retail Store"/>
    <s v="Consumer"/>
  </r>
  <r>
    <s v="ORD-00428"/>
    <x v="196"/>
    <x v="4"/>
    <x v="0"/>
    <x v="12"/>
    <n v="8"/>
    <n v="700"/>
    <n v="4480"/>
    <n v="0.2"/>
    <n v="-110.59"/>
    <s v="Wholesale"/>
    <s v="Small Business"/>
  </r>
  <r>
    <s v="ORD-00429"/>
    <x v="95"/>
    <x v="3"/>
    <x v="2"/>
    <x v="9"/>
    <n v="8"/>
    <n v="450"/>
    <n v="3600"/>
    <n v="0"/>
    <n v="1126.6400000000001"/>
    <s v="Wholesale"/>
    <s v="Small Business"/>
  </r>
  <r>
    <s v="ORD-00430"/>
    <x v="255"/>
    <x v="0"/>
    <x v="1"/>
    <x v="1"/>
    <n v="7"/>
    <n v="650"/>
    <n v="4550"/>
    <n v="0"/>
    <n v="1705.45"/>
    <s v="Online"/>
    <s v="Consumer"/>
  </r>
  <r>
    <s v="ORD-00431"/>
    <x v="254"/>
    <x v="0"/>
    <x v="3"/>
    <x v="4"/>
    <n v="10"/>
    <n v="12000"/>
    <n v="120000"/>
    <n v="0"/>
    <n v="42691.3"/>
    <s v="Wholesale"/>
    <s v="Small Business"/>
  </r>
  <r>
    <s v="ORD-00432"/>
    <x v="230"/>
    <x v="2"/>
    <x v="3"/>
    <x v="11"/>
    <n v="5"/>
    <n v="7000"/>
    <n v="33250"/>
    <n v="0.05"/>
    <n v="9999.11"/>
    <s v="Online"/>
    <s v="Corporate"/>
  </r>
  <r>
    <s v="ORD-00433"/>
    <x v="256"/>
    <x v="4"/>
    <x v="2"/>
    <x v="13"/>
    <n v="1"/>
    <n v="250"/>
    <n v="250"/>
    <n v="0"/>
    <n v="109.01"/>
    <s v="Retail Store"/>
    <s v="Consumer"/>
  </r>
  <r>
    <s v="ORD-00434"/>
    <x v="257"/>
    <x v="2"/>
    <x v="2"/>
    <x v="8"/>
    <n v="3"/>
    <n v="180"/>
    <n v="540"/>
    <n v="0"/>
    <n v="106.97"/>
    <s v="Retail Store"/>
    <s v="Consumer"/>
  </r>
  <r>
    <s v="ORD-00435"/>
    <x v="258"/>
    <x v="0"/>
    <x v="1"/>
    <x v="14"/>
    <n v="4"/>
    <n v="3200"/>
    <n v="12800"/>
    <n v="0"/>
    <n v="3339.64"/>
    <s v="Retail Store"/>
    <s v="Small Business"/>
  </r>
  <r>
    <s v="ORD-00436"/>
    <x v="259"/>
    <x v="3"/>
    <x v="2"/>
    <x v="3"/>
    <n v="6"/>
    <n v="120"/>
    <n v="684"/>
    <n v="0.05"/>
    <n v="136.08000000000001"/>
    <s v="Wholesale"/>
    <s v="Consumer"/>
  </r>
  <r>
    <s v="ORD-00437"/>
    <x v="260"/>
    <x v="2"/>
    <x v="2"/>
    <x v="9"/>
    <n v="10"/>
    <n v="450"/>
    <n v="4500"/>
    <n v="0"/>
    <n v="-626.73"/>
    <s v="Online"/>
    <s v="Corporate"/>
  </r>
  <r>
    <s v="ORD-00438"/>
    <x v="261"/>
    <x v="3"/>
    <x v="2"/>
    <x v="9"/>
    <n v="8"/>
    <n v="450"/>
    <n v="3240"/>
    <n v="0.1"/>
    <n v="551.47"/>
    <s v="Wholesale"/>
    <s v="Corporate"/>
  </r>
  <r>
    <s v="ORD-00439"/>
    <x v="74"/>
    <x v="0"/>
    <x v="2"/>
    <x v="8"/>
    <n v="3"/>
    <n v="180"/>
    <n v="540"/>
    <n v="0"/>
    <n v="-66.66"/>
    <s v="Retail Store"/>
    <s v="Corporate"/>
  </r>
  <r>
    <s v="ORD-00440"/>
    <x v="139"/>
    <x v="1"/>
    <x v="2"/>
    <x v="3"/>
    <n v="1"/>
    <n v="120"/>
    <n v="102"/>
    <n v="0.15"/>
    <n v="18.62"/>
    <s v="Wholesale"/>
    <s v="Small Business"/>
  </r>
  <r>
    <s v="ORD-00441"/>
    <x v="243"/>
    <x v="2"/>
    <x v="3"/>
    <x v="11"/>
    <n v="5"/>
    <n v="7000"/>
    <n v="29750"/>
    <n v="0.15"/>
    <n v="9415.2999999999993"/>
    <s v="Retail Store"/>
    <s v="Corporate"/>
  </r>
  <r>
    <s v="ORD-00442"/>
    <x v="127"/>
    <x v="1"/>
    <x v="3"/>
    <x v="4"/>
    <n v="5"/>
    <n v="12000"/>
    <n v="60000"/>
    <n v="0"/>
    <n v="13610.29"/>
    <s v="Wholesale"/>
    <s v="Small Business"/>
  </r>
  <r>
    <s v="ORD-00443"/>
    <x v="135"/>
    <x v="0"/>
    <x v="1"/>
    <x v="16"/>
    <n v="3"/>
    <n v="400"/>
    <n v="1140"/>
    <n v="0.05"/>
    <n v="288.13"/>
    <s v="Wholesale"/>
    <s v="Consumer"/>
  </r>
  <r>
    <s v="ORD-00444"/>
    <x v="205"/>
    <x v="3"/>
    <x v="0"/>
    <x v="10"/>
    <n v="1"/>
    <n v="2500"/>
    <n v="2000"/>
    <n v="0.2"/>
    <n v="356.75"/>
    <s v="Online"/>
    <s v="Consumer"/>
  </r>
  <r>
    <s v="ORD-00445"/>
    <x v="262"/>
    <x v="3"/>
    <x v="1"/>
    <x v="5"/>
    <n v="10"/>
    <n v="2800"/>
    <n v="22400"/>
    <n v="0.2"/>
    <n v="2018.28"/>
    <s v="Retail Store"/>
    <s v="Corporate"/>
  </r>
  <r>
    <s v="ORD-00446"/>
    <x v="263"/>
    <x v="2"/>
    <x v="3"/>
    <x v="4"/>
    <n v="6"/>
    <n v="12000"/>
    <n v="68400"/>
    <n v="0.05"/>
    <n v="22065.58"/>
    <s v="Online"/>
    <s v="Small Business"/>
  </r>
  <r>
    <s v="ORD-00447"/>
    <x v="218"/>
    <x v="4"/>
    <x v="3"/>
    <x v="4"/>
    <n v="8"/>
    <n v="12000"/>
    <n v="91200"/>
    <n v="0.05"/>
    <n v="30105.09"/>
    <s v="Online"/>
    <s v="Corporate"/>
  </r>
  <r>
    <s v="ORD-00448"/>
    <x v="44"/>
    <x v="1"/>
    <x v="3"/>
    <x v="4"/>
    <n v="6"/>
    <n v="12000"/>
    <n v="61200"/>
    <n v="0.15"/>
    <n v="17733.66"/>
    <s v="Online"/>
    <s v="Small Business"/>
  </r>
  <r>
    <s v="ORD-00449"/>
    <x v="264"/>
    <x v="0"/>
    <x v="3"/>
    <x v="4"/>
    <n v="5"/>
    <n v="1800"/>
    <n v="7200"/>
    <n v="0.2"/>
    <n v="1327.72"/>
    <s v="Wholesale"/>
    <s v="Small Business"/>
  </r>
  <r>
    <s v="ORD-00450"/>
    <x v="265"/>
    <x v="4"/>
    <x v="3"/>
    <x v="4"/>
    <n v="4"/>
    <n v="1800"/>
    <n v="7200"/>
    <n v="0"/>
    <n v="2154.2600000000002"/>
    <s v="Online"/>
    <s v="Consumer"/>
  </r>
  <r>
    <s v="ORD-00451"/>
    <x v="199"/>
    <x v="4"/>
    <x v="3"/>
    <x v="15"/>
    <n v="1"/>
    <n v="8500"/>
    <n v="6800"/>
    <n v="0.2"/>
    <n v="1771.45"/>
    <s v="Retail Store"/>
    <s v="Small Business"/>
  </r>
  <r>
    <s v="ORD-00452"/>
    <x v="89"/>
    <x v="2"/>
    <x v="1"/>
    <x v="16"/>
    <n v="1"/>
    <n v="400"/>
    <n v="320"/>
    <n v="0.2"/>
    <n v="68.34"/>
    <s v="Retail Store"/>
    <s v="Small Business"/>
  </r>
  <r>
    <s v="ORD-00453"/>
    <x v="266"/>
    <x v="4"/>
    <x v="2"/>
    <x v="6"/>
    <n v="8"/>
    <n v="600"/>
    <n v="4800"/>
    <n v="0"/>
    <n v="1394.34"/>
    <s v="Online"/>
    <s v="Consumer"/>
  </r>
  <r>
    <s v="ORD-00454"/>
    <x v="42"/>
    <x v="3"/>
    <x v="0"/>
    <x v="2"/>
    <n v="8"/>
    <n v="3200"/>
    <n v="25600"/>
    <n v="0"/>
    <n v="6025.53"/>
    <s v="Wholesale"/>
    <s v="Corporate"/>
  </r>
  <r>
    <s v="ORD-00455"/>
    <x v="239"/>
    <x v="3"/>
    <x v="3"/>
    <x v="11"/>
    <n v="1"/>
    <n v="7000"/>
    <n v="6650"/>
    <n v="0.05"/>
    <n v="2776.29"/>
    <s v="Online"/>
    <s v="Small Business"/>
  </r>
  <r>
    <s v="ORD-00456"/>
    <x v="241"/>
    <x v="2"/>
    <x v="3"/>
    <x v="11"/>
    <n v="1"/>
    <n v="7000"/>
    <n v="6300"/>
    <n v="0.1"/>
    <n v="1118.81"/>
    <s v="Retail Store"/>
    <s v="Small Business"/>
  </r>
  <r>
    <s v="ORD-00457"/>
    <x v="267"/>
    <x v="4"/>
    <x v="2"/>
    <x v="9"/>
    <n v="4"/>
    <n v="450"/>
    <n v="1530"/>
    <n v="0.15"/>
    <n v="498.94"/>
    <s v="Online"/>
    <s v="Small Business"/>
  </r>
  <r>
    <s v="ORD-00458"/>
    <x v="34"/>
    <x v="1"/>
    <x v="0"/>
    <x v="12"/>
    <n v="1"/>
    <n v="700"/>
    <n v="700"/>
    <n v="0"/>
    <n v="149.78"/>
    <s v="Wholesale"/>
    <s v="Consumer"/>
  </r>
  <r>
    <s v="ORD-00459"/>
    <x v="268"/>
    <x v="1"/>
    <x v="3"/>
    <x v="4"/>
    <n v="10"/>
    <n v="1800"/>
    <n v="16200"/>
    <n v="0.1"/>
    <n v="2566.25"/>
    <s v="Retail Store"/>
    <s v="Small Business"/>
  </r>
  <r>
    <s v="ORD-00460"/>
    <x v="88"/>
    <x v="0"/>
    <x v="3"/>
    <x v="4"/>
    <n v="8"/>
    <n v="12000"/>
    <n v="91200"/>
    <n v="0.05"/>
    <n v="13028.46"/>
    <s v="Retail Store"/>
    <s v="Consumer"/>
  </r>
  <r>
    <s v="ORD-00461"/>
    <x v="151"/>
    <x v="0"/>
    <x v="3"/>
    <x v="11"/>
    <n v="3"/>
    <n v="7000"/>
    <n v="19950"/>
    <n v="0.05"/>
    <n v="4203.47"/>
    <s v="Online"/>
    <s v="Small Business"/>
  </r>
  <r>
    <s v="ORD-00462"/>
    <x v="131"/>
    <x v="1"/>
    <x v="0"/>
    <x v="2"/>
    <n v="8"/>
    <n v="3200"/>
    <n v="21760"/>
    <n v="0.15"/>
    <n v="1442.44"/>
    <s v="Online"/>
    <s v="Small Business"/>
  </r>
  <r>
    <s v="ORD-00463"/>
    <x v="153"/>
    <x v="1"/>
    <x v="2"/>
    <x v="8"/>
    <n v="9"/>
    <n v="180"/>
    <n v="1620"/>
    <n v="0"/>
    <n v="535.92999999999995"/>
    <s v="Retail Store"/>
    <s v="Consumer"/>
  </r>
  <r>
    <s v="ORD-00464"/>
    <x v="196"/>
    <x v="4"/>
    <x v="2"/>
    <x v="13"/>
    <n v="8"/>
    <n v="250"/>
    <n v="2000"/>
    <n v="0"/>
    <n v="639.44000000000005"/>
    <s v="Wholesale"/>
    <s v="Consumer"/>
  </r>
  <r>
    <s v="ORD-00465"/>
    <x v="42"/>
    <x v="1"/>
    <x v="3"/>
    <x v="11"/>
    <n v="1"/>
    <n v="7000"/>
    <n v="5950"/>
    <n v="0.15"/>
    <n v="368.76"/>
    <s v="Online"/>
    <s v="Corporate"/>
  </r>
  <r>
    <s v="ORD-00466"/>
    <x v="269"/>
    <x v="4"/>
    <x v="1"/>
    <x v="16"/>
    <n v="2"/>
    <n v="400"/>
    <n v="800"/>
    <n v="0"/>
    <n v="317.41000000000003"/>
    <s v="Retail Store"/>
    <s v="Consumer"/>
  </r>
  <r>
    <s v="ORD-00467"/>
    <x v="270"/>
    <x v="3"/>
    <x v="2"/>
    <x v="3"/>
    <n v="2"/>
    <n v="120"/>
    <n v="216"/>
    <n v="0.1"/>
    <n v="43.49"/>
    <s v="Retail Store"/>
    <s v="Corporate"/>
  </r>
  <r>
    <s v="ORD-00468"/>
    <x v="129"/>
    <x v="2"/>
    <x v="0"/>
    <x v="7"/>
    <n v="5"/>
    <n v="65000"/>
    <n v="308750"/>
    <n v="0.05"/>
    <n v="79832.820000000007"/>
    <s v="Wholesale"/>
    <s v="Corporate"/>
  </r>
  <r>
    <s v="ORD-00469"/>
    <x v="271"/>
    <x v="4"/>
    <x v="1"/>
    <x v="16"/>
    <n v="2"/>
    <n v="400"/>
    <n v="720"/>
    <n v="0.1"/>
    <n v="162.72999999999999"/>
    <s v="Wholesale"/>
    <s v="Corporate"/>
  </r>
  <r>
    <s v="ORD-00470"/>
    <x v="65"/>
    <x v="0"/>
    <x v="3"/>
    <x v="4"/>
    <n v="5"/>
    <n v="1800"/>
    <n v="7650"/>
    <n v="0.15"/>
    <n v="1172.3"/>
    <s v="Retail Store"/>
    <s v="Corporate"/>
  </r>
  <r>
    <s v="ORD-00471"/>
    <x v="182"/>
    <x v="4"/>
    <x v="1"/>
    <x v="5"/>
    <n v="10"/>
    <n v="2800"/>
    <n v="23800"/>
    <n v="0.15"/>
    <n v="5775.81"/>
    <s v="Online"/>
    <s v="Small Business"/>
  </r>
  <r>
    <s v="ORD-00472"/>
    <x v="235"/>
    <x v="1"/>
    <x v="2"/>
    <x v="9"/>
    <n v="4"/>
    <n v="450"/>
    <n v="1440"/>
    <n v="0.2"/>
    <n v="385.64"/>
    <s v="Retail Store"/>
    <s v="Small Business"/>
  </r>
  <r>
    <s v="ORD-00473"/>
    <x v="66"/>
    <x v="3"/>
    <x v="1"/>
    <x v="14"/>
    <n v="5"/>
    <n v="3200"/>
    <n v="12800"/>
    <n v="0.2"/>
    <n v="1399.75"/>
    <s v="Retail Store"/>
    <s v="Corporate"/>
  </r>
  <r>
    <s v="ORD-00474"/>
    <x v="113"/>
    <x v="1"/>
    <x v="2"/>
    <x v="3"/>
    <n v="6"/>
    <n v="120"/>
    <n v="720"/>
    <n v="0"/>
    <n v="212.92"/>
    <s v="Retail Store"/>
    <s v="Consumer"/>
  </r>
  <r>
    <s v="ORD-00475"/>
    <x v="0"/>
    <x v="2"/>
    <x v="1"/>
    <x v="1"/>
    <n v="9"/>
    <n v="650"/>
    <n v="5557.5"/>
    <n v="0.05"/>
    <n v="1262.68"/>
    <s v="Online"/>
    <s v="Corporate"/>
  </r>
  <r>
    <s v="ORD-00476"/>
    <x v="2"/>
    <x v="4"/>
    <x v="1"/>
    <x v="16"/>
    <n v="2"/>
    <n v="400"/>
    <n v="640"/>
    <n v="0.2"/>
    <n v="49.7"/>
    <s v="Wholesale"/>
    <s v="Small Business"/>
  </r>
  <r>
    <s v="ORD-00477"/>
    <x v="80"/>
    <x v="1"/>
    <x v="1"/>
    <x v="5"/>
    <n v="4"/>
    <n v="2800"/>
    <n v="9520"/>
    <n v="0.15"/>
    <n v="1973.87"/>
    <s v="Retail Store"/>
    <s v="Consumer"/>
  </r>
  <r>
    <s v="ORD-00478"/>
    <x v="126"/>
    <x v="0"/>
    <x v="2"/>
    <x v="13"/>
    <n v="2"/>
    <n v="250"/>
    <n v="500"/>
    <n v="0"/>
    <n v="129.12"/>
    <s v="Online"/>
    <s v="Consumer"/>
  </r>
  <r>
    <s v="ORD-00479"/>
    <x v="82"/>
    <x v="3"/>
    <x v="3"/>
    <x v="4"/>
    <n v="10"/>
    <n v="12000"/>
    <n v="108000"/>
    <n v="0.1"/>
    <n v="25852.79"/>
    <s v="Retail Store"/>
    <s v="Small Business"/>
  </r>
  <r>
    <s v="ORD-00480"/>
    <x v="225"/>
    <x v="1"/>
    <x v="1"/>
    <x v="16"/>
    <n v="6"/>
    <n v="400"/>
    <n v="2280"/>
    <n v="0.05"/>
    <n v="663.26"/>
    <s v="Retail Store"/>
    <s v="Corporate"/>
  </r>
  <r>
    <s v="ORD-00481"/>
    <x v="167"/>
    <x v="4"/>
    <x v="1"/>
    <x v="5"/>
    <n v="2"/>
    <n v="2800"/>
    <n v="4760"/>
    <n v="0.15"/>
    <n v="1007.16"/>
    <s v="Online"/>
    <s v="Consumer"/>
  </r>
  <r>
    <s v="ORD-00482"/>
    <x v="259"/>
    <x v="1"/>
    <x v="2"/>
    <x v="3"/>
    <n v="3"/>
    <n v="120"/>
    <n v="306"/>
    <n v="0.15"/>
    <n v="50.74"/>
    <s v="Online"/>
    <s v="Small Business"/>
  </r>
  <r>
    <s v="ORD-00483"/>
    <x v="21"/>
    <x v="1"/>
    <x v="1"/>
    <x v="1"/>
    <n v="9"/>
    <n v="650"/>
    <n v="5265"/>
    <n v="0.1"/>
    <n v="1597.18"/>
    <s v="Wholesale"/>
    <s v="Consumer"/>
  </r>
  <r>
    <s v="ORD-00484"/>
    <x v="74"/>
    <x v="0"/>
    <x v="0"/>
    <x v="7"/>
    <n v="9"/>
    <n v="65000"/>
    <n v="555750"/>
    <n v="0.05"/>
    <n v="203306.78"/>
    <s v="Wholesale"/>
    <s v="Consumer"/>
  </r>
  <r>
    <s v="ORD-00485"/>
    <x v="59"/>
    <x v="0"/>
    <x v="0"/>
    <x v="10"/>
    <n v="2"/>
    <n v="2500"/>
    <n v="4000"/>
    <n v="0.2"/>
    <n v="-91.57"/>
    <s v="Wholesale"/>
    <s v="Consumer"/>
  </r>
  <r>
    <s v="ORD-00486"/>
    <x v="159"/>
    <x v="1"/>
    <x v="0"/>
    <x v="2"/>
    <n v="6"/>
    <n v="3200"/>
    <n v="19200"/>
    <n v="0"/>
    <n v="8138.87"/>
    <s v="Retail Store"/>
    <s v="Consumer"/>
  </r>
  <r>
    <s v="ORD-00487"/>
    <x v="194"/>
    <x v="4"/>
    <x v="1"/>
    <x v="1"/>
    <n v="6"/>
    <n v="650"/>
    <n v="3120"/>
    <n v="0.2"/>
    <n v="208.14"/>
    <s v="Retail Store"/>
    <s v="Small Business"/>
  </r>
  <r>
    <s v="ORD-00488"/>
    <x v="67"/>
    <x v="3"/>
    <x v="3"/>
    <x v="4"/>
    <n v="4"/>
    <n v="12000"/>
    <n v="45600"/>
    <n v="0.05"/>
    <n v="15128.78"/>
    <s v="Online"/>
    <s v="Consumer"/>
  </r>
  <r>
    <s v="ORD-00489"/>
    <x v="194"/>
    <x v="0"/>
    <x v="3"/>
    <x v="15"/>
    <n v="3"/>
    <n v="8500"/>
    <n v="25500"/>
    <n v="0"/>
    <n v="10536.52"/>
    <s v="Retail Store"/>
    <s v="Small Business"/>
  </r>
  <r>
    <s v="ORD-00490"/>
    <x v="54"/>
    <x v="2"/>
    <x v="0"/>
    <x v="12"/>
    <n v="5"/>
    <n v="700"/>
    <n v="3500"/>
    <n v="0"/>
    <n v="1154.82"/>
    <s v="Wholesale"/>
    <s v="Consumer"/>
  </r>
  <r>
    <s v="ORD-00491"/>
    <x v="13"/>
    <x v="2"/>
    <x v="2"/>
    <x v="8"/>
    <n v="3"/>
    <n v="180"/>
    <n v="540"/>
    <n v="0"/>
    <n v="157.44"/>
    <s v="Online"/>
    <s v="Corporate"/>
  </r>
  <r>
    <s v="ORD-00492"/>
    <x v="129"/>
    <x v="3"/>
    <x v="1"/>
    <x v="14"/>
    <n v="2"/>
    <n v="3200"/>
    <n v="6400"/>
    <n v="0"/>
    <n v="2411.35"/>
    <s v="Retail Store"/>
    <s v="Small Business"/>
  </r>
  <r>
    <s v="ORD-00493"/>
    <x v="201"/>
    <x v="3"/>
    <x v="1"/>
    <x v="16"/>
    <n v="5"/>
    <n v="400"/>
    <n v="1600"/>
    <n v="0.2"/>
    <n v="231.49"/>
    <s v="Wholesale"/>
    <s v="Consumer"/>
  </r>
  <r>
    <s v="ORD-00494"/>
    <x v="19"/>
    <x v="4"/>
    <x v="2"/>
    <x v="8"/>
    <n v="7"/>
    <n v="180"/>
    <n v="1008"/>
    <n v="0.2"/>
    <n v="41.67"/>
    <s v="Online"/>
    <s v="Small Business"/>
  </r>
  <r>
    <s v="ORD-00495"/>
    <x v="44"/>
    <x v="1"/>
    <x v="1"/>
    <x v="1"/>
    <n v="3"/>
    <n v="650"/>
    <n v="1560"/>
    <n v="0.2"/>
    <n v="297.27999999999997"/>
    <s v="Online"/>
    <s v="Small Business"/>
  </r>
  <r>
    <s v="ORD-00496"/>
    <x v="139"/>
    <x v="1"/>
    <x v="2"/>
    <x v="3"/>
    <n v="8"/>
    <n v="120"/>
    <n v="912"/>
    <n v="0.05"/>
    <n v="269.22000000000003"/>
    <s v="Online"/>
    <s v="Corporate"/>
  </r>
  <r>
    <s v="ORD-00497"/>
    <x v="204"/>
    <x v="0"/>
    <x v="1"/>
    <x v="1"/>
    <n v="8"/>
    <n v="650"/>
    <n v="4940"/>
    <n v="0.05"/>
    <n v="1616.71"/>
    <s v="Retail Store"/>
    <s v="Small Business"/>
  </r>
  <r>
    <s v="ORD-00498"/>
    <x v="71"/>
    <x v="3"/>
    <x v="3"/>
    <x v="4"/>
    <n v="1"/>
    <n v="12000"/>
    <n v="11400"/>
    <n v="0.05"/>
    <n v="3228.25"/>
    <s v="Retail Store"/>
    <s v="Corporate"/>
  </r>
  <r>
    <s v="ORD-00499"/>
    <x v="183"/>
    <x v="3"/>
    <x v="0"/>
    <x v="17"/>
    <n v="10"/>
    <n v="14000"/>
    <n v="119000"/>
    <n v="0.15"/>
    <n v="17057.68"/>
    <s v="Online"/>
    <s v="Small Business"/>
  </r>
  <r>
    <s v="ORD-00500"/>
    <x v="49"/>
    <x v="2"/>
    <x v="1"/>
    <x v="1"/>
    <n v="4"/>
    <n v="650"/>
    <n v="2340"/>
    <n v="0.1"/>
    <n v="414.63"/>
    <s v="Online"/>
    <s v="Small Business"/>
  </r>
  <r>
    <s v="ORD-00501"/>
    <x v="237"/>
    <x v="2"/>
    <x v="3"/>
    <x v="4"/>
    <n v="8"/>
    <n v="1800"/>
    <n v="14400"/>
    <n v="0"/>
    <n v="6309.91"/>
    <s v="Retail Store"/>
    <s v="Corporate"/>
  </r>
  <r>
    <s v="ORD-00502"/>
    <x v="24"/>
    <x v="4"/>
    <x v="2"/>
    <x v="3"/>
    <n v="1"/>
    <n v="120"/>
    <n v="120"/>
    <n v="0"/>
    <n v="32.07"/>
    <s v="Retail Store"/>
    <s v="Consumer"/>
  </r>
  <r>
    <s v="ORD-00503"/>
    <x v="131"/>
    <x v="4"/>
    <x v="2"/>
    <x v="9"/>
    <n v="7"/>
    <n v="450"/>
    <n v="2677.5"/>
    <n v="0.15"/>
    <n v="744.6"/>
    <s v="Wholesale"/>
    <s v="Consumer"/>
  </r>
  <r>
    <s v="ORD-00504"/>
    <x v="133"/>
    <x v="4"/>
    <x v="0"/>
    <x v="2"/>
    <n v="2"/>
    <n v="3200"/>
    <n v="5120"/>
    <n v="0.2"/>
    <n v="-16.89"/>
    <s v="Retail Store"/>
    <s v="Corporate"/>
  </r>
  <r>
    <s v="ORD-00505"/>
    <x v="272"/>
    <x v="2"/>
    <x v="2"/>
    <x v="13"/>
    <n v="1"/>
    <n v="250"/>
    <n v="212.5"/>
    <n v="0.15"/>
    <n v="-26.63"/>
    <s v="Online"/>
    <s v="Consumer"/>
  </r>
  <r>
    <s v="ORD-00506"/>
    <x v="49"/>
    <x v="2"/>
    <x v="2"/>
    <x v="13"/>
    <n v="7"/>
    <n v="250"/>
    <n v="1750"/>
    <n v="0"/>
    <n v="406.32"/>
    <s v="Wholesale"/>
    <s v="Consumer"/>
  </r>
  <r>
    <s v="ORD-00507"/>
    <x v="273"/>
    <x v="3"/>
    <x v="0"/>
    <x v="10"/>
    <n v="1"/>
    <n v="2500"/>
    <n v="2250"/>
    <n v="0.1"/>
    <n v="479.99"/>
    <s v="Online"/>
    <s v="Small Business"/>
  </r>
  <r>
    <s v="ORD-00508"/>
    <x v="59"/>
    <x v="1"/>
    <x v="2"/>
    <x v="13"/>
    <n v="1"/>
    <n v="250"/>
    <n v="225"/>
    <n v="0.1"/>
    <n v="81.099999999999994"/>
    <s v="Online"/>
    <s v="Corporate"/>
  </r>
  <r>
    <s v="ORD-00509"/>
    <x v="151"/>
    <x v="4"/>
    <x v="2"/>
    <x v="6"/>
    <n v="1"/>
    <n v="600"/>
    <n v="540"/>
    <n v="0.1"/>
    <n v="194.5"/>
    <s v="Online"/>
    <s v="Small Business"/>
  </r>
  <r>
    <s v="ORD-00510"/>
    <x v="31"/>
    <x v="1"/>
    <x v="1"/>
    <x v="1"/>
    <n v="7"/>
    <n v="650"/>
    <n v="4550"/>
    <n v="0"/>
    <n v="1198.5"/>
    <s v="Retail Store"/>
    <s v="Corporate"/>
  </r>
  <r>
    <s v="ORD-00511"/>
    <x v="143"/>
    <x v="1"/>
    <x v="0"/>
    <x v="17"/>
    <n v="7"/>
    <n v="14000"/>
    <n v="98000"/>
    <n v="0"/>
    <n v="19968.240000000002"/>
    <s v="Online"/>
    <s v="Consumer"/>
  </r>
  <r>
    <s v="ORD-00512"/>
    <x v="51"/>
    <x v="3"/>
    <x v="1"/>
    <x v="16"/>
    <n v="3"/>
    <n v="400"/>
    <n v="1200"/>
    <n v="0"/>
    <n v="-236.29"/>
    <s v="Wholesale"/>
    <s v="Small Business"/>
  </r>
  <r>
    <s v="ORD-00513"/>
    <x v="18"/>
    <x v="1"/>
    <x v="3"/>
    <x v="11"/>
    <n v="3"/>
    <n v="7000"/>
    <n v="21000"/>
    <n v="0"/>
    <n v="-1789.3"/>
    <s v="Retail Store"/>
    <s v="Consumer"/>
  </r>
  <r>
    <s v="ORD-00514"/>
    <x v="274"/>
    <x v="4"/>
    <x v="0"/>
    <x v="7"/>
    <n v="2"/>
    <n v="65000"/>
    <n v="130000"/>
    <n v="0"/>
    <n v="46098.63"/>
    <s v="Retail Store"/>
    <s v="Corporate"/>
  </r>
  <r>
    <s v="ORD-00515"/>
    <x v="221"/>
    <x v="2"/>
    <x v="3"/>
    <x v="11"/>
    <n v="5"/>
    <n v="7000"/>
    <n v="35000"/>
    <n v="0"/>
    <n v="-1898.95"/>
    <s v="Online"/>
    <s v="Consumer"/>
  </r>
  <r>
    <s v="ORD-00516"/>
    <x v="275"/>
    <x v="3"/>
    <x v="3"/>
    <x v="4"/>
    <n v="2"/>
    <n v="12000"/>
    <n v="20400"/>
    <n v="0.15"/>
    <n v="2224.12"/>
    <s v="Wholesale"/>
    <s v="Small Business"/>
  </r>
  <r>
    <s v="ORD-00517"/>
    <x v="15"/>
    <x v="3"/>
    <x v="2"/>
    <x v="3"/>
    <n v="2"/>
    <n v="120"/>
    <n v="204"/>
    <n v="0.15"/>
    <n v="41.11"/>
    <s v="Online"/>
    <s v="Consumer"/>
  </r>
  <r>
    <s v="ORD-00518"/>
    <x v="276"/>
    <x v="2"/>
    <x v="2"/>
    <x v="3"/>
    <n v="1"/>
    <n v="120"/>
    <n v="96"/>
    <n v="0.2"/>
    <n v="9.86"/>
    <s v="Wholesale"/>
    <s v="Consumer"/>
  </r>
  <r>
    <s v="ORD-00519"/>
    <x v="277"/>
    <x v="4"/>
    <x v="1"/>
    <x v="1"/>
    <n v="8"/>
    <n v="650"/>
    <n v="4680"/>
    <n v="0.1"/>
    <n v="1497.61"/>
    <s v="Retail Store"/>
    <s v="Small Business"/>
  </r>
  <r>
    <s v="ORD-00520"/>
    <x v="43"/>
    <x v="2"/>
    <x v="1"/>
    <x v="5"/>
    <n v="9"/>
    <n v="2800"/>
    <n v="22680"/>
    <n v="0.1"/>
    <n v="4594.87"/>
    <s v="Retail Store"/>
    <s v="Small Business"/>
  </r>
  <r>
    <s v="ORD-00521"/>
    <x v="278"/>
    <x v="4"/>
    <x v="2"/>
    <x v="8"/>
    <n v="1"/>
    <n v="180"/>
    <n v="153"/>
    <n v="0.15"/>
    <n v="36.07"/>
    <s v="Wholesale"/>
    <s v="Corporate"/>
  </r>
  <r>
    <s v="ORD-00522"/>
    <x v="179"/>
    <x v="2"/>
    <x v="2"/>
    <x v="13"/>
    <n v="8"/>
    <n v="250"/>
    <n v="1900"/>
    <n v="0.05"/>
    <n v="763.83"/>
    <s v="Retail Store"/>
    <s v="Consumer"/>
  </r>
  <r>
    <s v="ORD-00523"/>
    <x v="104"/>
    <x v="4"/>
    <x v="0"/>
    <x v="17"/>
    <n v="4"/>
    <n v="14000"/>
    <n v="44800"/>
    <n v="0.2"/>
    <n v="4775.51"/>
    <s v="Online"/>
    <s v="Small Business"/>
  </r>
  <r>
    <s v="ORD-00524"/>
    <x v="279"/>
    <x v="0"/>
    <x v="1"/>
    <x v="16"/>
    <n v="5"/>
    <n v="400"/>
    <n v="1800"/>
    <n v="0.1"/>
    <n v="605.29"/>
    <s v="Retail Store"/>
    <s v="Corporate"/>
  </r>
  <r>
    <s v="ORD-00525"/>
    <x v="128"/>
    <x v="4"/>
    <x v="0"/>
    <x v="12"/>
    <n v="1"/>
    <n v="700"/>
    <n v="595"/>
    <n v="0.15"/>
    <n v="35.270000000000003"/>
    <s v="Wholesale"/>
    <s v="Corporate"/>
  </r>
  <r>
    <s v="ORD-00526"/>
    <x v="229"/>
    <x v="0"/>
    <x v="3"/>
    <x v="4"/>
    <n v="6"/>
    <n v="12000"/>
    <n v="57600"/>
    <n v="0.2"/>
    <n v="3152.54"/>
    <s v="Online"/>
    <s v="Small Business"/>
  </r>
  <r>
    <s v="ORD-00527"/>
    <x v="280"/>
    <x v="3"/>
    <x v="1"/>
    <x v="5"/>
    <n v="10"/>
    <n v="2800"/>
    <n v="26600"/>
    <n v="0.05"/>
    <n v="10122.83"/>
    <s v="Retail Store"/>
    <s v="Small Business"/>
  </r>
  <r>
    <s v="ORD-00528"/>
    <x v="281"/>
    <x v="4"/>
    <x v="1"/>
    <x v="16"/>
    <n v="10"/>
    <n v="400"/>
    <n v="4000"/>
    <n v="0"/>
    <n v="936.45"/>
    <s v="Wholesale"/>
    <s v="Corporate"/>
  </r>
  <r>
    <s v="ORD-00529"/>
    <x v="205"/>
    <x v="4"/>
    <x v="3"/>
    <x v="11"/>
    <n v="2"/>
    <n v="7000"/>
    <n v="12600"/>
    <n v="0.1"/>
    <n v="2369.62"/>
    <s v="Wholesale"/>
    <s v="Consumer"/>
  </r>
  <r>
    <s v="ORD-00530"/>
    <x v="282"/>
    <x v="1"/>
    <x v="2"/>
    <x v="6"/>
    <n v="8"/>
    <n v="600"/>
    <n v="4080"/>
    <n v="0.15"/>
    <n v="420.98"/>
    <s v="Wholesale"/>
    <s v="Small Business"/>
  </r>
  <r>
    <s v="ORD-00531"/>
    <x v="283"/>
    <x v="1"/>
    <x v="0"/>
    <x v="0"/>
    <n v="3"/>
    <n v="1200"/>
    <n v="3600"/>
    <n v="0"/>
    <n v="1270.1199999999999"/>
    <s v="Online"/>
    <s v="Consumer"/>
  </r>
  <r>
    <s v="ORD-00532"/>
    <x v="1"/>
    <x v="1"/>
    <x v="1"/>
    <x v="16"/>
    <n v="5"/>
    <n v="400"/>
    <n v="1700"/>
    <n v="0.15"/>
    <n v="94.22"/>
    <s v="Wholesale"/>
    <s v="Corporate"/>
  </r>
  <r>
    <s v="ORD-00533"/>
    <x v="150"/>
    <x v="2"/>
    <x v="2"/>
    <x v="3"/>
    <n v="6"/>
    <n v="120"/>
    <n v="684"/>
    <n v="0.05"/>
    <n v="99.03"/>
    <s v="Online"/>
    <s v="Consumer"/>
  </r>
  <r>
    <s v="ORD-00534"/>
    <x v="284"/>
    <x v="0"/>
    <x v="3"/>
    <x v="4"/>
    <n v="9"/>
    <n v="12000"/>
    <n v="108000"/>
    <n v="0"/>
    <n v="43456.55"/>
    <s v="Retail Store"/>
    <s v="Small Business"/>
  </r>
  <r>
    <s v="ORD-00535"/>
    <x v="285"/>
    <x v="2"/>
    <x v="1"/>
    <x v="1"/>
    <n v="4"/>
    <n v="650"/>
    <n v="2340"/>
    <n v="0.1"/>
    <n v="488.52"/>
    <s v="Wholesale"/>
    <s v="Small Business"/>
  </r>
  <r>
    <s v="ORD-00536"/>
    <x v="146"/>
    <x v="1"/>
    <x v="3"/>
    <x v="15"/>
    <n v="8"/>
    <n v="8500"/>
    <n v="68000"/>
    <n v="0"/>
    <n v="15332.17"/>
    <s v="Retail Store"/>
    <s v="Corporate"/>
  </r>
  <r>
    <s v="ORD-00537"/>
    <x v="286"/>
    <x v="5"/>
    <x v="2"/>
    <x v="9"/>
    <n v="10"/>
    <n v="450"/>
    <n v="4275"/>
    <n v="0.05"/>
    <n v="1109.5899999999999"/>
    <s v="Retail Store"/>
    <s v="Corporate"/>
  </r>
  <r>
    <s v="ORD-00538"/>
    <x v="185"/>
    <x v="3"/>
    <x v="0"/>
    <x v="0"/>
    <n v="9"/>
    <n v="1200"/>
    <n v="9180"/>
    <n v="0.15"/>
    <n v="976.51"/>
    <s v="Retail Store"/>
    <s v="Corporate"/>
  </r>
  <r>
    <s v="ORD-00539"/>
    <x v="133"/>
    <x v="4"/>
    <x v="3"/>
    <x v="4"/>
    <n v="5"/>
    <n v="12000"/>
    <n v="48000"/>
    <n v="0.2"/>
    <n v="-1191.43"/>
    <s v="Online"/>
    <s v="Consumer"/>
  </r>
  <r>
    <s v="ORD-00540"/>
    <x v="275"/>
    <x v="1"/>
    <x v="0"/>
    <x v="10"/>
    <n v="4"/>
    <n v="2500"/>
    <n v="10000"/>
    <n v="0"/>
    <n v="4201.84"/>
    <s v="Wholesale"/>
    <s v="Consumer"/>
  </r>
  <r>
    <s v="ORD-00541"/>
    <x v="256"/>
    <x v="1"/>
    <x v="3"/>
    <x v="4"/>
    <n v="2"/>
    <n v="1800"/>
    <n v="2880"/>
    <n v="0.2"/>
    <n v="12.2"/>
    <s v="Retail Store"/>
    <s v="Corporate"/>
  </r>
  <r>
    <s v="ORD-00542"/>
    <x v="210"/>
    <x v="1"/>
    <x v="0"/>
    <x v="0"/>
    <n v="4"/>
    <n v="1200"/>
    <n v="4800"/>
    <n v="0"/>
    <n v="1855.49"/>
    <s v="Retail Store"/>
    <s v="Small Business"/>
  </r>
  <r>
    <s v="ORD-00543"/>
    <x v="87"/>
    <x v="0"/>
    <x v="2"/>
    <x v="9"/>
    <n v="8"/>
    <n v="450"/>
    <n v="3060"/>
    <n v="0.15"/>
    <n v="213.24"/>
    <s v="Retail Store"/>
    <s v="Small Business"/>
  </r>
  <r>
    <s v="ORD-00544"/>
    <x v="85"/>
    <x v="0"/>
    <x v="3"/>
    <x v="4"/>
    <n v="3"/>
    <n v="1800"/>
    <n v="5400"/>
    <n v="0"/>
    <n v="1674.82"/>
    <s v="Retail Store"/>
    <s v="Consumer"/>
  </r>
  <r>
    <s v="ORD-00545"/>
    <x v="175"/>
    <x v="0"/>
    <x v="2"/>
    <x v="3"/>
    <n v="9"/>
    <n v="120"/>
    <n v="972"/>
    <n v="0.1"/>
    <n v="346.32"/>
    <s v="Retail Store"/>
    <s v="Corporate"/>
  </r>
  <r>
    <s v="ORD-00546"/>
    <x v="235"/>
    <x v="4"/>
    <x v="2"/>
    <x v="9"/>
    <n v="1"/>
    <n v="450"/>
    <n v="405"/>
    <n v="0.1"/>
    <n v="78.91"/>
    <s v="Online"/>
    <s v="Corporate"/>
  </r>
  <r>
    <s v="ORD-00547"/>
    <x v="84"/>
    <x v="4"/>
    <x v="2"/>
    <x v="6"/>
    <n v="2"/>
    <n v="600"/>
    <n v="960"/>
    <n v="0.2"/>
    <n v="224.25"/>
    <s v="Online"/>
    <s v="Consumer"/>
  </r>
  <r>
    <s v="ORD-00548"/>
    <x v="287"/>
    <x v="4"/>
    <x v="2"/>
    <x v="6"/>
    <n v="4"/>
    <n v="600"/>
    <n v="2280"/>
    <n v="0.05"/>
    <n v="603.59"/>
    <s v="Wholesale"/>
    <s v="Small Business"/>
  </r>
  <r>
    <s v="ORD-00549"/>
    <x v="288"/>
    <x v="4"/>
    <x v="1"/>
    <x v="5"/>
    <n v="10"/>
    <n v="2800"/>
    <n v="23800"/>
    <n v="0.15"/>
    <n v="5730.9"/>
    <s v="Wholesale"/>
    <s v="Consumer"/>
  </r>
  <r>
    <s v="ORD-00550"/>
    <x v="6"/>
    <x v="3"/>
    <x v="0"/>
    <x v="7"/>
    <n v="10"/>
    <n v="65000"/>
    <n v="585000"/>
    <n v="0.1"/>
    <n v="114096.22"/>
    <s v="Wholesale"/>
    <s v="Consumer"/>
  </r>
  <r>
    <s v="ORD-00551"/>
    <x v="21"/>
    <x v="1"/>
    <x v="2"/>
    <x v="9"/>
    <n v="6"/>
    <n v="450"/>
    <n v="2430"/>
    <n v="0.1"/>
    <n v="697.47"/>
    <s v="Wholesale"/>
    <s v="Consumer"/>
  </r>
  <r>
    <s v="ORD-00552"/>
    <x v="289"/>
    <x v="2"/>
    <x v="3"/>
    <x v="11"/>
    <n v="6"/>
    <n v="7000"/>
    <n v="39900"/>
    <n v="0.05"/>
    <n v="7726.13"/>
    <s v="Wholesale"/>
    <s v="Small Business"/>
  </r>
  <r>
    <s v="ORD-00553"/>
    <x v="167"/>
    <x v="1"/>
    <x v="3"/>
    <x v="11"/>
    <n v="6"/>
    <n v="7000"/>
    <n v="37800"/>
    <n v="0.1"/>
    <n v="12064.63"/>
    <s v="Wholesale"/>
    <s v="Small Business"/>
  </r>
  <r>
    <s v="ORD-00554"/>
    <x v="45"/>
    <x v="0"/>
    <x v="3"/>
    <x v="15"/>
    <n v="4"/>
    <n v="8500"/>
    <n v="34000"/>
    <n v="0"/>
    <n v="10401.23"/>
    <s v="Wholesale"/>
    <s v="Small Business"/>
  </r>
  <r>
    <s v="ORD-00555"/>
    <x v="31"/>
    <x v="3"/>
    <x v="0"/>
    <x v="17"/>
    <n v="2"/>
    <n v="14000"/>
    <n v="28000"/>
    <n v="0"/>
    <n v="5964.71"/>
    <s v="Online"/>
    <s v="Small Business"/>
  </r>
  <r>
    <s v="ORD-00556"/>
    <x v="151"/>
    <x v="4"/>
    <x v="1"/>
    <x v="14"/>
    <n v="4"/>
    <n v="3200"/>
    <n v="10880"/>
    <n v="0.15"/>
    <n v="2418.85"/>
    <s v="Online"/>
    <s v="Small Business"/>
  </r>
  <r>
    <s v="ORD-00557"/>
    <x v="60"/>
    <x v="3"/>
    <x v="0"/>
    <x v="7"/>
    <n v="7"/>
    <n v="65000"/>
    <n v="364000"/>
    <n v="0.2"/>
    <n v="-749.67"/>
    <s v="Wholesale"/>
    <s v="Small Business"/>
  </r>
  <r>
    <s v="ORD-00558"/>
    <x v="102"/>
    <x v="2"/>
    <x v="3"/>
    <x v="11"/>
    <n v="5"/>
    <n v="7000"/>
    <n v="35000"/>
    <n v="0"/>
    <n v="8024.95"/>
    <s v="Retail Store"/>
    <s v="Corporate"/>
  </r>
  <r>
    <s v="ORD-00559"/>
    <x v="133"/>
    <x v="1"/>
    <x v="3"/>
    <x v="11"/>
    <n v="7"/>
    <n v="7000"/>
    <n v="39200"/>
    <n v="0.2"/>
    <n v="-142.57"/>
    <s v="Retail Store"/>
    <s v="Small Business"/>
  </r>
  <r>
    <s v="ORD-00560"/>
    <x v="119"/>
    <x v="2"/>
    <x v="1"/>
    <x v="1"/>
    <n v="4"/>
    <n v="650"/>
    <n v="2600"/>
    <n v="0"/>
    <n v="919.58"/>
    <s v="Retail Store"/>
    <s v="Consumer"/>
  </r>
  <r>
    <s v="ORD-00561"/>
    <x v="122"/>
    <x v="2"/>
    <x v="0"/>
    <x v="0"/>
    <n v="6"/>
    <n v="1200"/>
    <n v="6840"/>
    <n v="0.05"/>
    <n v="1963.56"/>
    <s v="Online"/>
    <s v="Small Business"/>
  </r>
  <r>
    <s v="ORD-00562"/>
    <x v="45"/>
    <x v="4"/>
    <x v="1"/>
    <x v="1"/>
    <n v="2"/>
    <n v="650"/>
    <n v="1300"/>
    <n v="0"/>
    <n v="494.11"/>
    <s v="Retail Store"/>
    <s v="Consumer"/>
  </r>
  <r>
    <s v="ORD-00563"/>
    <x v="290"/>
    <x v="1"/>
    <x v="1"/>
    <x v="14"/>
    <n v="8"/>
    <n v="3200"/>
    <n v="20480"/>
    <n v="0.2"/>
    <n v="-2.59"/>
    <s v="Wholesale"/>
    <s v="Small Business"/>
  </r>
  <r>
    <s v="ORD-00564"/>
    <x v="159"/>
    <x v="0"/>
    <x v="0"/>
    <x v="2"/>
    <n v="5"/>
    <n v="3200"/>
    <n v="15200"/>
    <n v="0.05"/>
    <n v="4311.91"/>
    <s v="Retail Store"/>
    <s v="Consumer"/>
  </r>
  <r>
    <s v="ORD-00565"/>
    <x v="171"/>
    <x v="3"/>
    <x v="4"/>
    <x v="2"/>
    <n v="3"/>
    <n v="3200"/>
    <n v="7680"/>
    <n v="0.2"/>
    <n v="773.51"/>
    <s v="Wholesale"/>
    <s v="Small Business"/>
  </r>
  <r>
    <s v="ORD-00566"/>
    <x v="291"/>
    <x v="2"/>
    <x v="0"/>
    <x v="0"/>
    <n v="3"/>
    <n v="1200"/>
    <n v="3060"/>
    <n v="0.15"/>
    <n v="1028.6300000000001"/>
    <s v="Retail Store"/>
    <s v="Consumer"/>
  </r>
  <r>
    <s v="ORD-00567"/>
    <x v="292"/>
    <x v="4"/>
    <x v="2"/>
    <x v="9"/>
    <n v="2"/>
    <n v="450"/>
    <n v="720"/>
    <n v="0.2"/>
    <n v="172.08"/>
    <s v="Retail Store"/>
    <s v="Corporate"/>
  </r>
  <r>
    <s v="ORD-00568"/>
    <x v="15"/>
    <x v="0"/>
    <x v="2"/>
    <x v="13"/>
    <n v="3"/>
    <n v="250"/>
    <n v="637.5"/>
    <n v="0.15"/>
    <n v="182.01"/>
    <s v="Online"/>
    <s v="Small Business"/>
  </r>
  <r>
    <s v="ORD-00569"/>
    <x v="293"/>
    <x v="1"/>
    <x v="2"/>
    <x v="3"/>
    <n v="3"/>
    <n v="120"/>
    <n v="288"/>
    <n v="0.2"/>
    <n v="77.099999999999994"/>
    <s v="Wholesale"/>
    <s v="Corporate"/>
  </r>
  <r>
    <s v="ORD-00570"/>
    <x v="47"/>
    <x v="3"/>
    <x v="1"/>
    <x v="14"/>
    <n v="6"/>
    <n v="3200"/>
    <n v="17280"/>
    <n v="0.1"/>
    <n v="5437.32"/>
    <s v="Online"/>
    <s v="Consumer"/>
  </r>
  <r>
    <s v="ORD-00571"/>
    <x v="54"/>
    <x v="2"/>
    <x v="3"/>
    <x v="11"/>
    <n v="8"/>
    <n v="7000"/>
    <n v="44800"/>
    <n v="0.2"/>
    <n v="12362.91"/>
    <s v="Retail Store"/>
    <s v="Consumer"/>
  </r>
  <r>
    <s v="ORD-00572"/>
    <x v="294"/>
    <x v="5"/>
    <x v="0"/>
    <x v="2"/>
    <n v="2"/>
    <n v="3200"/>
    <n v="6400"/>
    <n v="0"/>
    <n v="1785.29"/>
    <s v="Wholesale"/>
    <s v="Small Business"/>
  </r>
  <r>
    <s v="ORD-00573"/>
    <x v="209"/>
    <x v="2"/>
    <x v="3"/>
    <x v="4"/>
    <n v="2"/>
    <n v="12000"/>
    <n v="24000"/>
    <n v="0"/>
    <n v="5932.99"/>
    <s v="Retail Store"/>
    <s v="Small Business"/>
  </r>
  <r>
    <s v="ORD-00574"/>
    <x v="184"/>
    <x v="4"/>
    <x v="2"/>
    <x v="3"/>
    <n v="7"/>
    <n v="120"/>
    <n v="840"/>
    <n v="0"/>
    <n v="268.18"/>
    <s v="Wholesale"/>
    <s v="Small Business"/>
  </r>
  <r>
    <s v="ORD-00575"/>
    <x v="51"/>
    <x v="1"/>
    <x v="0"/>
    <x v="2"/>
    <n v="1"/>
    <n v="3200"/>
    <n v="3040"/>
    <n v="0.05"/>
    <n v="765.56"/>
    <s v="Retail Store"/>
    <s v="Corporate"/>
  </r>
  <r>
    <s v="ORD-00576"/>
    <x v="68"/>
    <x v="0"/>
    <x v="2"/>
    <x v="3"/>
    <n v="7"/>
    <n v="120"/>
    <n v="840"/>
    <n v="0"/>
    <n v="0"/>
    <s v="Wholesale"/>
    <s v="Small Business"/>
  </r>
  <r>
    <s v="ORD-00577"/>
    <x v="295"/>
    <x v="4"/>
    <x v="3"/>
    <x v="4"/>
    <n v="3"/>
    <n v="12000"/>
    <n v="32400"/>
    <n v="0.1"/>
    <n v="9158.89"/>
    <s v="Wholesale"/>
    <s v="Consumer"/>
  </r>
  <r>
    <s v="ORD-00578"/>
    <x v="86"/>
    <x v="3"/>
    <x v="3"/>
    <x v="4"/>
    <n v="6"/>
    <n v="1800"/>
    <n v="10260"/>
    <n v="0.05"/>
    <n v="3088.37"/>
    <s v="Retail Store"/>
    <s v="Corporate"/>
  </r>
  <r>
    <s v="ORD-00579"/>
    <x v="90"/>
    <x v="4"/>
    <x v="0"/>
    <x v="0"/>
    <n v="4"/>
    <n v="1200"/>
    <n v="4560"/>
    <n v="0.05"/>
    <n v="1419.74"/>
    <s v="Wholesale"/>
    <s v="Small Business"/>
  </r>
  <r>
    <s v="ORD-00580"/>
    <x v="215"/>
    <x v="0"/>
    <x v="3"/>
    <x v="4"/>
    <n v="3"/>
    <n v="1800"/>
    <n v="4860"/>
    <n v="0.1"/>
    <n v="877.22"/>
    <s v="Online"/>
    <s v="Small Business"/>
  </r>
  <r>
    <s v="ORD-00581"/>
    <x v="51"/>
    <x v="1"/>
    <x v="3"/>
    <x v="4"/>
    <n v="2"/>
    <n v="1800"/>
    <n v="3240"/>
    <n v="0.1"/>
    <n v="292.95"/>
    <s v="Wholesale"/>
    <s v="Corporate"/>
  </r>
  <r>
    <s v="ORD-00582"/>
    <x v="296"/>
    <x v="1"/>
    <x v="2"/>
    <x v="6"/>
    <n v="7"/>
    <n v="600"/>
    <n v="4200"/>
    <n v="0"/>
    <n v="-219.47"/>
    <s v="Wholesale"/>
    <s v="Corporate"/>
  </r>
  <r>
    <s v="ORD-00583"/>
    <x v="160"/>
    <x v="2"/>
    <x v="0"/>
    <x v="10"/>
    <n v="4"/>
    <n v="2500"/>
    <n v="9500"/>
    <n v="0.05"/>
    <n v="3521.75"/>
    <s v="Wholesale"/>
    <s v="Corporate"/>
  </r>
  <r>
    <s v="ORD-00584"/>
    <x v="297"/>
    <x v="4"/>
    <x v="1"/>
    <x v="16"/>
    <n v="4"/>
    <n v="400"/>
    <n v="1440"/>
    <n v="0.1"/>
    <n v="290.62"/>
    <s v="Retail Store"/>
    <s v="Consumer"/>
  </r>
  <r>
    <s v="ORD-00585"/>
    <x v="31"/>
    <x v="1"/>
    <x v="0"/>
    <x v="10"/>
    <n v="6"/>
    <n v="2500"/>
    <n v="12000"/>
    <n v="0.2"/>
    <n v="3066.16"/>
    <s v="Wholesale"/>
    <s v="Consumer"/>
  </r>
  <r>
    <s v="ORD-00586"/>
    <x v="147"/>
    <x v="1"/>
    <x v="2"/>
    <x v="3"/>
    <n v="1"/>
    <n v="120"/>
    <n v="114"/>
    <n v="0.05"/>
    <n v="29.56"/>
    <s v="Online"/>
    <s v="Consumer"/>
  </r>
  <r>
    <s v="ORD-00587"/>
    <x v="298"/>
    <x v="2"/>
    <x v="1"/>
    <x v="1"/>
    <n v="5"/>
    <n v="650"/>
    <n v="2600"/>
    <n v="0.2"/>
    <n v="604.95000000000005"/>
    <s v="Retail Store"/>
    <s v="Small Business"/>
  </r>
  <r>
    <s v="ORD-00588"/>
    <x v="167"/>
    <x v="1"/>
    <x v="3"/>
    <x v="4"/>
    <n v="1"/>
    <n v="12000"/>
    <n v="9600"/>
    <n v="0.2"/>
    <n v="2361.4699999999998"/>
    <s v="Wholesale"/>
    <s v="Corporate"/>
  </r>
  <r>
    <s v="ORD-00589"/>
    <x v="284"/>
    <x v="2"/>
    <x v="0"/>
    <x v="12"/>
    <n v="4"/>
    <n v="700"/>
    <n v="2380"/>
    <n v="0.15"/>
    <n v="314.74"/>
    <s v="Retail Store"/>
    <s v="Corporate"/>
  </r>
  <r>
    <s v="ORD-00590"/>
    <x v="260"/>
    <x v="3"/>
    <x v="1"/>
    <x v="5"/>
    <n v="5"/>
    <n v="2800"/>
    <n v="14000"/>
    <n v="0"/>
    <n v="5907.83"/>
    <s v="Online"/>
    <s v="Corporate"/>
  </r>
  <r>
    <s v="ORD-00591"/>
    <x v="236"/>
    <x v="4"/>
    <x v="0"/>
    <x v="7"/>
    <n v="2"/>
    <n v="65000"/>
    <n v="117000"/>
    <n v="0.1"/>
    <n v="29523.96"/>
    <s v="Wholesale"/>
    <s v="Small Business"/>
  </r>
  <r>
    <s v="ORD-00592"/>
    <x v="263"/>
    <x v="1"/>
    <x v="3"/>
    <x v="4"/>
    <n v="2"/>
    <n v="12000"/>
    <n v="24000"/>
    <n v="0"/>
    <n v="8301.68"/>
    <s v="Online"/>
    <s v="Consumer"/>
  </r>
  <r>
    <s v="ORD-00593"/>
    <x v="206"/>
    <x v="1"/>
    <x v="2"/>
    <x v="6"/>
    <n v="1"/>
    <n v="600"/>
    <n v="510"/>
    <n v="0.15"/>
    <n v="58.32"/>
    <s v="Wholesale"/>
    <s v="Corporate"/>
  </r>
  <r>
    <s v="ORD-00594"/>
    <x v="247"/>
    <x v="1"/>
    <x v="2"/>
    <x v="3"/>
    <n v="10"/>
    <n v="120"/>
    <n v="1200"/>
    <n v="0"/>
    <n v="447.83"/>
    <s v="Wholesale"/>
    <s v="Consumer"/>
  </r>
  <r>
    <s v="ORD-00595"/>
    <x v="194"/>
    <x v="2"/>
    <x v="3"/>
    <x v="15"/>
    <n v="1"/>
    <n v="8500"/>
    <n v="7225"/>
    <n v="0.15"/>
    <n v="1565.58"/>
    <s v="Online"/>
    <s v="Small Business"/>
  </r>
  <r>
    <s v="ORD-00596"/>
    <x v="119"/>
    <x v="4"/>
    <x v="3"/>
    <x v="11"/>
    <n v="3"/>
    <n v="7000"/>
    <n v="18900"/>
    <n v="0.1"/>
    <n v="4129.34"/>
    <s v="Online"/>
    <s v="Consumer"/>
  </r>
  <r>
    <s v="ORD-00597"/>
    <x v="213"/>
    <x v="0"/>
    <x v="2"/>
    <x v="8"/>
    <n v="6"/>
    <n v="180"/>
    <n v="918"/>
    <n v="0.15"/>
    <n v="163.77000000000001"/>
    <s v="Retail Store"/>
    <s v="Corporate"/>
  </r>
  <r>
    <s v="ORD-00598"/>
    <x v="299"/>
    <x v="4"/>
    <x v="3"/>
    <x v="4"/>
    <n v="8"/>
    <n v="1800"/>
    <n v="14400"/>
    <n v="0"/>
    <n v="4551.07"/>
    <s v="Online"/>
    <s v="Consumer"/>
  </r>
  <r>
    <s v="ORD-00599"/>
    <x v="178"/>
    <x v="4"/>
    <x v="2"/>
    <x v="13"/>
    <n v="10"/>
    <n v="250"/>
    <n v="2500"/>
    <n v="0"/>
    <n v="724.11"/>
    <s v="Wholesale"/>
    <s v="Corporate"/>
  </r>
  <r>
    <s v="ORD-00600"/>
    <x v="8"/>
    <x v="4"/>
    <x v="3"/>
    <x v="15"/>
    <n v="5"/>
    <n v="8500"/>
    <n v="42500"/>
    <n v="0"/>
    <n v="13750.65"/>
    <s v="Online"/>
    <s v="Corporate"/>
  </r>
  <r>
    <s v="ORD-00601"/>
    <x v="262"/>
    <x v="0"/>
    <x v="3"/>
    <x v="4"/>
    <n v="6"/>
    <n v="12000"/>
    <n v="72000"/>
    <n v="0"/>
    <n v="17918.66"/>
    <s v="Retail Store"/>
    <s v="Small Business"/>
  </r>
  <r>
    <s v="ORD-00602"/>
    <x v="79"/>
    <x v="3"/>
    <x v="3"/>
    <x v="4"/>
    <n v="9"/>
    <n v="12000"/>
    <n v="97200"/>
    <n v="0.1"/>
    <n v="26720.7"/>
    <s v="Retail Store"/>
    <s v="Corporate"/>
  </r>
  <r>
    <s v="ORD-00603"/>
    <x v="171"/>
    <x v="3"/>
    <x v="2"/>
    <x v="3"/>
    <n v="5"/>
    <n v="120"/>
    <n v="510"/>
    <n v="0.15"/>
    <n v="117.6"/>
    <s v="Retail Store"/>
    <s v="Consumer"/>
  </r>
  <r>
    <s v="ORD-00604"/>
    <x v="300"/>
    <x v="3"/>
    <x v="0"/>
    <x v="12"/>
    <n v="3"/>
    <n v="700"/>
    <n v="1785"/>
    <n v="0.15"/>
    <n v="219.88"/>
    <s v="Retail Store"/>
    <s v="Consumer"/>
  </r>
  <r>
    <s v="ORD-00605"/>
    <x v="112"/>
    <x v="3"/>
    <x v="2"/>
    <x v="6"/>
    <n v="6"/>
    <n v="600"/>
    <n v="3060"/>
    <n v="0.15"/>
    <n v="944.66"/>
    <s v="Wholesale"/>
    <s v="Consumer"/>
  </r>
  <r>
    <s v="ORD-00606"/>
    <x v="55"/>
    <x v="2"/>
    <x v="1"/>
    <x v="5"/>
    <n v="6"/>
    <n v="2800"/>
    <n v="16800"/>
    <n v="0"/>
    <n v="5111.25"/>
    <s v="Online"/>
    <s v="Corporate"/>
  </r>
  <r>
    <s v="ORD-00607"/>
    <x v="285"/>
    <x v="3"/>
    <x v="3"/>
    <x v="4"/>
    <n v="3"/>
    <n v="12000"/>
    <n v="36000"/>
    <n v="0"/>
    <n v="8065.71"/>
    <s v="Online"/>
    <s v="Corporate"/>
  </r>
  <r>
    <s v="ORD-00608"/>
    <x v="276"/>
    <x v="2"/>
    <x v="1"/>
    <x v="5"/>
    <n v="7"/>
    <n v="2800"/>
    <n v="19600"/>
    <n v="0"/>
    <n v="3534.18"/>
    <s v="Wholesale"/>
    <s v="Corporate"/>
  </r>
  <r>
    <s v="ORD-00609"/>
    <x v="62"/>
    <x v="4"/>
    <x v="0"/>
    <x v="12"/>
    <n v="4"/>
    <n v="700"/>
    <n v="2660"/>
    <n v="0.05"/>
    <n v="375.85"/>
    <s v="Wholesale"/>
    <s v="Corporate"/>
  </r>
  <r>
    <s v="ORD-00610"/>
    <x v="249"/>
    <x v="4"/>
    <x v="0"/>
    <x v="2"/>
    <n v="4"/>
    <n v="3200"/>
    <n v="11520"/>
    <n v="0.1"/>
    <n v="4302.3500000000004"/>
    <s v="Online"/>
    <s v="Corporate"/>
  </r>
  <r>
    <s v="ORD-00611"/>
    <x v="187"/>
    <x v="1"/>
    <x v="0"/>
    <x v="7"/>
    <n v="9"/>
    <n v="65000"/>
    <n v="585000"/>
    <n v="0"/>
    <n v="240656.53"/>
    <s v="Retail Store"/>
    <s v="Small Business"/>
  </r>
  <r>
    <s v="ORD-00612"/>
    <x v="104"/>
    <x v="3"/>
    <x v="1"/>
    <x v="16"/>
    <n v="10"/>
    <n v="400"/>
    <n v="3400"/>
    <n v="0.15"/>
    <n v="716.23"/>
    <s v="Online"/>
    <s v="Small Business"/>
  </r>
  <r>
    <s v="ORD-00613"/>
    <x v="71"/>
    <x v="2"/>
    <x v="0"/>
    <x v="7"/>
    <n v="9"/>
    <n v="65000"/>
    <n v="526500"/>
    <n v="0.1"/>
    <n v="109022.92"/>
    <s v="Online"/>
    <s v="Consumer"/>
  </r>
  <r>
    <s v="ORD-00614"/>
    <x v="293"/>
    <x v="2"/>
    <x v="1"/>
    <x v="16"/>
    <n v="9"/>
    <n v="400"/>
    <n v="3240"/>
    <n v="0.1"/>
    <n v="1013.9"/>
    <s v="Online"/>
    <s v="Corporate"/>
  </r>
  <r>
    <s v="ORD-00615"/>
    <x v="64"/>
    <x v="4"/>
    <x v="2"/>
    <x v="13"/>
    <n v="9"/>
    <n v="250"/>
    <n v="2137.5"/>
    <n v="0.05"/>
    <n v="823.68"/>
    <s v="Wholesale"/>
    <s v="Consumer"/>
  </r>
  <r>
    <s v="ORD-00616"/>
    <x v="34"/>
    <x v="2"/>
    <x v="3"/>
    <x v="4"/>
    <n v="2"/>
    <n v="1800"/>
    <n v="3600"/>
    <n v="0"/>
    <n v="1407.44"/>
    <s v="Wholesale"/>
    <s v="Consumer"/>
  </r>
  <r>
    <s v="ORD-00617"/>
    <x v="283"/>
    <x v="0"/>
    <x v="1"/>
    <x v="14"/>
    <n v="8"/>
    <n v="3200"/>
    <n v="24320"/>
    <n v="0.05"/>
    <n v="7544.43"/>
    <s v="Retail Store"/>
    <s v="Corporate"/>
  </r>
  <r>
    <s v="ORD-00618"/>
    <x v="200"/>
    <x v="1"/>
    <x v="3"/>
    <x v="4"/>
    <n v="5"/>
    <n v="1800"/>
    <n v="9000"/>
    <n v="0"/>
    <n v="3417.79"/>
    <s v="Wholesale"/>
    <s v="Consumer"/>
  </r>
  <r>
    <s v="ORD-00619"/>
    <x v="114"/>
    <x v="0"/>
    <x v="1"/>
    <x v="14"/>
    <n v="3"/>
    <n v="3200"/>
    <n v="9600"/>
    <n v="0"/>
    <n v="2459.0300000000002"/>
    <s v="Retail Store"/>
    <s v="Corporate"/>
  </r>
  <r>
    <s v="ORD-00620"/>
    <x v="63"/>
    <x v="0"/>
    <x v="2"/>
    <x v="8"/>
    <n v="6"/>
    <n v="180"/>
    <n v="972"/>
    <n v="0.1"/>
    <n v="293.06"/>
    <s v="Online"/>
    <s v="Small Business"/>
  </r>
  <r>
    <s v="ORD-00621"/>
    <x v="289"/>
    <x v="4"/>
    <x v="2"/>
    <x v="9"/>
    <n v="4"/>
    <n v="450"/>
    <n v="1800"/>
    <n v="0"/>
    <n v="786.24"/>
    <s v="Wholesale"/>
    <s v="Consumer"/>
  </r>
  <r>
    <s v="ORD-00622"/>
    <x v="301"/>
    <x v="0"/>
    <x v="0"/>
    <x v="0"/>
    <n v="6"/>
    <n v="1200"/>
    <n v="6480"/>
    <n v="0.1"/>
    <n v="1906.07"/>
    <s v="Retail Store"/>
    <s v="Small Business"/>
  </r>
  <r>
    <s v="ORD-00623"/>
    <x v="52"/>
    <x v="2"/>
    <x v="0"/>
    <x v="10"/>
    <n v="3"/>
    <n v="2500"/>
    <n v="7500"/>
    <n v="0"/>
    <n v="1468.67"/>
    <s v="Retail Store"/>
    <s v="Small Business"/>
  </r>
  <r>
    <s v="ORD-00624"/>
    <x v="178"/>
    <x v="0"/>
    <x v="2"/>
    <x v="3"/>
    <n v="7"/>
    <n v="120"/>
    <n v="756"/>
    <n v="0.1"/>
    <n v="238.58"/>
    <s v="Wholesale"/>
    <s v="Consumer"/>
  </r>
  <r>
    <s v="ORD-00625"/>
    <x v="213"/>
    <x v="2"/>
    <x v="3"/>
    <x v="11"/>
    <n v="2"/>
    <n v="7000"/>
    <n v="14000"/>
    <n v="0"/>
    <n v="4483.1899999999996"/>
    <s v="Retail Store"/>
    <s v="Consumer"/>
  </r>
  <r>
    <s v="ORD-00626"/>
    <x v="220"/>
    <x v="2"/>
    <x v="1"/>
    <x v="1"/>
    <n v="8"/>
    <n v="650"/>
    <n v="4420"/>
    <n v="0.15"/>
    <n v="726.06"/>
    <s v="Online"/>
    <s v="Small Business"/>
  </r>
  <r>
    <s v="ORD-00627"/>
    <x v="237"/>
    <x v="4"/>
    <x v="2"/>
    <x v="3"/>
    <n v="7"/>
    <n v="120"/>
    <n v="840"/>
    <n v="0"/>
    <n v="154"/>
    <s v="Retail Store"/>
    <s v="Small Business"/>
  </r>
  <r>
    <s v="ORD-00628"/>
    <x v="257"/>
    <x v="1"/>
    <x v="2"/>
    <x v="3"/>
    <n v="8"/>
    <n v="120"/>
    <n v="960"/>
    <n v="0"/>
    <n v="268.43"/>
    <s v="Retail Store"/>
    <s v="Small Business"/>
  </r>
  <r>
    <s v="ORD-00629"/>
    <x v="262"/>
    <x v="4"/>
    <x v="3"/>
    <x v="4"/>
    <n v="8"/>
    <n v="12000"/>
    <n v="91200"/>
    <n v="0.05"/>
    <n v="14143.51"/>
    <s v="Wholesale"/>
    <s v="Corporate"/>
  </r>
  <r>
    <s v="ORD-00630"/>
    <x v="179"/>
    <x v="4"/>
    <x v="2"/>
    <x v="13"/>
    <n v="4"/>
    <n v="250"/>
    <n v="900"/>
    <n v="0.1"/>
    <n v="297.67"/>
    <s v="Retail Store"/>
    <s v="Corporate"/>
  </r>
  <r>
    <s v="ORD-00631"/>
    <x v="302"/>
    <x v="1"/>
    <x v="3"/>
    <x v="4"/>
    <n v="10"/>
    <n v="1800"/>
    <n v="16200"/>
    <n v="0.1"/>
    <n v="4273.41"/>
    <s v="Retail Store"/>
    <s v="Corporate"/>
  </r>
  <r>
    <s v="ORD-00632"/>
    <x v="44"/>
    <x v="0"/>
    <x v="0"/>
    <x v="12"/>
    <n v="1"/>
    <n v="700"/>
    <n v="665"/>
    <n v="0.05"/>
    <n v="178.7"/>
    <s v="Online"/>
    <s v="Small Business"/>
  </r>
  <r>
    <s v="ORD-00633"/>
    <x v="140"/>
    <x v="4"/>
    <x v="0"/>
    <x v="10"/>
    <n v="2"/>
    <n v="2500"/>
    <n v="4000"/>
    <n v="0.2"/>
    <n v="489.07"/>
    <s v="Online"/>
    <s v="Small Business"/>
  </r>
  <r>
    <s v="ORD-00634"/>
    <x v="81"/>
    <x v="1"/>
    <x v="3"/>
    <x v="4"/>
    <n v="3"/>
    <n v="1800"/>
    <n v="4860"/>
    <n v="0.1"/>
    <n v="654.99"/>
    <s v="Wholesale"/>
    <s v="Corporate"/>
  </r>
  <r>
    <s v="ORD-00635"/>
    <x v="181"/>
    <x v="1"/>
    <x v="2"/>
    <x v="9"/>
    <n v="6"/>
    <n v="450"/>
    <n v="2700"/>
    <n v="0"/>
    <n v="773.83"/>
    <s v="Wholesale"/>
    <s v="Corporate"/>
  </r>
  <r>
    <s v="ORD-00636"/>
    <x v="292"/>
    <x v="0"/>
    <x v="0"/>
    <x v="17"/>
    <n v="9"/>
    <n v="14000"/>
    <n v="119700"/>
    <n v="0.05"/>
    <n v="45468.09"/>
    <s v="Retail Store"/>
    <s v="Small Business"/>
  </r>
  <r>
    <s v="ORD-00637"/>
    <x v="282"/>
    <x v="2"/>
    <x v="3"/>
    <x v="4"/>
    <n v="2"/>
    <n v="12000"/>
    <n v="22800"/>
    <n v="0.05"/>
    <n v="8635.92"/>
    <s v="Wholesale"/>
    <s v="Consumer"/>
  </r>
  <r>
    <s v="ORD-00638"/>
    <x v="98"/>
    <x v="2"/>
    <x v="0"/>
    <x v="0"/>
    <n v="2"/>
    <n v="1200"/>
    <n v="2040"/>
    <n v="0.15"/>
    <n v="421.1"/>
    <s v="Online"/>
    <s v="Consumer"/>
  </r>
  <r>
    <s v="ORD-00639"/>
    <x v="141"/>
    <x v="2"/>
    <x v="2"/>
    <x v="9"/>
    <n v="4"/>
    <n v="450"/>
    <n v="1440"/>
    <n v="0.2"/>
    <n v="3.62"/>
    <s v="Online"/>
    <s v="Small Business"/>
  </r>
  <r>
    <s v="ORD-00640"/>
    <x v="86"/>
    <x v="1"/>
    <x v="0"/>
    <x v="17"/>
    <n v="8"/>
    <n v="14000"/>
    <n v="100800"/>
    <n v="0.1"/>
    <n v="32529.05"/>
    <s v="Retail Store"/>
    <s v="Small Business"/>
  </r>
  <r>
    <s v="ORD-00641"/>
    <x v="303"/>
    <x v="2"/>
    <x v="0"/>
    <x v="0"/>
    <n v="7"/>
    <n v="1200"/>
    <n v="7560"/>
    <n v="0.1"/>
    <n v="2562.62"/>
    <s v="Online"/>
    <s v="Corporate"/>
  </r>
  <r>
    <s v="ORD-00642"/>
    <x v="270"/>
    <x v="4"/>
    <x v="0"/>
    <x v="17"/>
    <n v="3"/>
    <n v="14000"/>
    <n v="42000"/>
    <n v="0"/>
    <n v="13224.64"/>
    <s v="Online"/>
    <s v="Corporate"/>
  </r>
  <r>
    <s v="ORD-00643"/>
    <x v="304"/>
    <x v="3"/>
    <x v="1"/>
    <x v="5"/>
    <n v="2"/>
    <n v="2800"/>
    <n v="4760"/>
    <n v="0.15"/>
    <n v="-387.15"/>
    <s v="Retail Store"/>
    <s v="Small Business"/>
  </r>
  <r>
    <s v="ORD-00644"/>
    <x v="208"/>
    <x v="4"/>
    <x v="4"/>
    <x v="11"/>
    <n v="1"/>
    <n v="7000"/>
    <n v="6300"/>
    <n v="0.1"/>
    <n v="893.05"/>
    <s v="Wholesale"/>
    <s v="Consumer"/>
  </r>
  <r>
    <s v="ORD-00645"/>
    <x v="136"/>
    <x v="0"/>
    <x v="3"/>
    <x v="11"/>
    <n v="3"/>
    <n v="7000"/>
    <n v="17850"/>
    <n v="0.15"/>
    <n v="3303.53"/>
    <s v="Wholesale"/>
    <s v="Consumer"/>
  </r>
  <r>
    <s v="ORD-00646"/>
    <x v="177"/>
    <x v="2"/>
    <x v="1"/>
    <x v="16"/>
    <n v="4"/>
    <n v="400"/>
    <n v="1280"/>
    <n v="0.2"/>
    <n v="185.21"/>
    <s v="Wholesale"/>
    <s v="Consumer"/>
  </r>
  <r>
    <s v="ORD-00647"/>
    <x v="146"/>
    <x v="1"/>
    <x v="2"/>
    <x v="13"/>
    <n v="3"/>
    <n v="250"/>
    <n v="712.5"/>
    <n v="0.05"/>
    <n v="292.63"/>
    <s v="Retail Store"/>
    <s v="Consumer"/>
  </r>
  <r>
    <s v="ORD-00648"/>
    <x v="196"/>
    <x v="4"/>
    <x v="3"/>
    <x v="15"/>
    <n v="6"/>
    <n v="8500"/>
    <n v="45900"/>
    <n v="0.1"/>
    <n v="15788.08"/>
    <s v="Wholesale"/>
    <s v="Corporate"/>
  </r>
  <r>
    <s v="ORD-00649"/>
    <x v="78"/>
    <x v="2"/>
    <x v="2"/>
    <x v="6"/>
    <n v="10"/>
    <n v="600"/>
    <n v="5700"/>
    <n v="0.05"/>
    <n v="1858.6"/>
    <s v="Online"/>
    <s v="Corporate"/>
  </r>
  <r>
    <s v="ORD-00650"/>
    <x v="264"/>
    <x v="5"/>
    <x v="0"/>
    <x v="7"/>
    <n v="10"/>
    <n v="65000"/>
    <n v="520000"/>
    <n v="0.2"/>
    <n v="85308.88"/>
    <s v="Online"/>
    <s v="Small Business"/>
  </r>
  <r>
    <s v="ORD-00651"/>
    <x v="107"/>
    <x v="1"/>
    <x v="2"/>
    <x v="6"/>
    <n v="6"/>
    <n v="600"/>
    <n v="3600"/>
    <n v="0"/>
    <n v="990.97"/>
    <s v="Online"/>
    <s v="Small Business"/>
  </r>
  <r>
    <s v="ORD-00652"/>
    <x v="305"/>
    <x v="1"/>
    <x v="0"/>
    <x v="10"/>
    <n v="1"/>
    <n v="2500"/>
    <n v="2000"/>
    <n v="0.2"/>
    <n v="583.19000000000005"/>
    <s v="Online"/>
    <s v="Small Business"/>
  </r>
  <r>
    <s v="ORD-00653"/>
    <x v="207"/>
    <x v="2"/>
    <x v="2"/>
    <x v="13"/>
    <n v="9"/>
    <n v="250"/>
    <n v="1800"/>
    <n v="0.2"/>
    <n v="148.82"/>
    <s v="Retail Store"/>
    <s v="Corporate"/>
  </r>
  <r>
    <s v="ORD-00654"/>
    <x v="153"/>
    <x v="4"/>
    <x v="3"/>
    <x v="4"/>
    <n v="3"/>
    <n v="1800"/>
    <n v="4860"/>
    <n v="0.1"/>
    <n v="1359.13"/>
    <s v="Online"/>
    <s v="Corporate"/>
  </r>
  <r>
    <s v="ORD-00655"/>
    <x v="118"/>
    <x v="0"/>
    <x v="1"/>
    <x v="16"/>
    <n v="6"/>
    <n v="400"/>
    <n v="2160"/>
    <n v="0.1"/>
    <n v="711.9"/>
    <s v="Retail Store"/>
    <s v="Small Business"/>
  </r>
  <r>
    <s v="ORD-00656"/>
    <x v="99"/>
    <x v="4"/>
    <x v="0"/>
    <x v="7"/>
    <n v="7"/>
    <n v="65000"/>
    <n v="455000"/>
    <n v="0"/>
    <n v="91896.68"/>
    <s v="Online"/>
    <s v="Small Business"/>
  </r>
  <r>
    <s v="ORD-00657"/>
    <x v="187"/>
    <x v="4"/>
    <x v="2"/>
    <x v="8"/>
    <n v="7"/>
    <n v="180"/>
    <n v="1071"/>
    <n v="0.15"/>
    <n v="118.28"/>
    <s v="Retail Store"/>
    <s v="Small Business"/>
  </r>
  <r>
    <s v="ORD-00658"/>
    <x v="41"/>
    <x v="5"/>
    <x v="2"/>
    <x v="9"/>
    <n v="9"/>
    <n v="450"/>
    <n v="3240"/>
    <n v="0.2"/>
    <n v="551.88"/>
    <s v="Online"/>
    <s v="Corporate"/>
  </r>
  <r>
    <s v="ORD-00659"/>
    <x v="120"/>
    <x v="4"/>
    <x v="0"/>
    <x v="12"/>
    <n v="5"/>
    <n v="700"/>
    <n v="3500"/>
    <n v="0"/>
    <n v="1512.69"/>
    <s v="Online"/>
    <s v="Consumer"/>
  </r>
  <r>
    <s v="ORD-00660"/>
    <x v="306"/>
    <x v="4"/>
    <x v="1"/>
    <x v="5"/>
    <n v="9"/>
    <n v="2800"/>
    <n v="21420"/>
    <n v="0.15"/>
    <n v="5544.82"/>
    <s v="Retail Store"/>
    <s v="Corporate"/>
  </r>
  <r>
    <s v="ORD-00661"/>
    <x v="306"/>
    <x v="2"/>
    <x v="0"/>
    <x v="7"/>
    <n v="9"/>
    <n v="65000"/>
    <n v="526500"/>
    <n v="0.1"/>
    <n v="186642.63"/>
    <s v="Retail Store"/>
    <s v="Corporate"/>
  </r>
  <r>
    <s v="ORD-00662"/>
    <x v="246"/>
    <x v="1"/>
    <x v="1"/>
    <x v="1"/>
    <n v="4"/>
    <n v="650"/>
    <n v="2210"/>
    <n v="0.15"/>
    <n v="555.75"/>
    <s v="Retail Store"/>
    <s v="Consumer"/>
  </r>
  <r>
    <s v="ORD-00663"/>
    <x v="307"/>
    <x v="2"/>
    <x v="1"/>
    <x v="1"/>
    <n v="8"/>
    <n v="650"/>
    <n v="4160"/>
    <n v="0.2"/>
    <n v="888.68"/>
    <s v="Online"/>
    <s v="Consumer"/>
  </r>
  <r>
    <s v="ORD-00664"/>
    <x v="308"/>
    <x v="0"/>
    <x v="3"/>
    <x v="4"/>
    <n v="4"/>
    <n v="12000"/>
    <n v="40800"/>
    <n v="0.15"/>
    <n v="5045.6099999999997"/>
    <s v="Online"/>
    <s v="Consumer"/>
  </r>
  <r>
    <s v="ORD-00665"/>
    <x v="309"/>
    <x v="2"/>
    <x v="0"/>
    <x v="12"/>
    <n v="2"/>
    <n v="700"/>
    <n v="1260"/>
    <n v="0.1"/>
    <n v="157.07"/>
    <s v="Online"/>
    <s v="Small Business"/>
  </r>
  <r>
    <s v="ORD-00666"/>
    <x v="226"/>
    <x v="0"/>
    <x v="3"/>
    <x v="4"/>
    <n v="10"/>
    <n v="1800"/>
    <n v="16200"/>
    <n v="0.1"/>
    <n v="5613.9"/>
    <s v="Online"/>
    <s v="Consumer"/>
  </r>
  <r>
    <s v="ORD-00667"/>
    <x v="47"/>
    <x v="0"/>
    <x v="3"/>
    <x v="4"/>
    <n v="5"/>
    <n v="12000"/>
    <n v="60000"/>
    <n v="0"/>
    <n v="18595.919999999998"/>
    <s v="Online"/>
    <s v="Small Business"/>
  </r>
  <r>
    <s v="ORD-00668"/>
    <x v="80"/>
    <x v="2"/>
    <x v="3"/>
    <x v="11"/>
    <n v="1"/>
    <n v="7000"/>
    <n v="5600"/>
    <n v="0.2"/>
    <n v="1187.19"/>
    <s v="Retail Store"/>
    <s v="Corporate"/>
  </r>
  <r>
    <s v="ORD-00669"/>
    <x v="284"/>
    <x v="0"/>
    <x v="0"/>
    <x v="12"/>
    <n v="7"/>
    <n v="700"/>
    <n v="4410"/>
    <n v="0.1"/>
    <n v="-72.28"/>
    <s v="Retail Store"/>
    <s v="Small Business"/>
  </r>
  <r>
    <s v="ORD-00670"/>
    <x v="287"/>
    <x v="0"/>
    <x v="2"/>
    <x v="13"/>
    <n v="1"/>
    <n v="250"/>
    <n v="225"/>
    <n v="0.1"/>
    <n v="78.59"/>
    <s v="Online"/>
    <s v="Corporate"/>
  </r>
  <r>
    <s v="ORD-00671"/>
    <x v="310"/>
    <x v="1"/>
    <x v="1"/>
    <x v="14"/>
    <n v="6"/>
    <n v="3200"/>
    <n v="19200"/>
    <n v="0"/>
    <n v="8405.74"/>
    <s v="Retail Store"/>
    <s v="Corporate"/>
  </r>
  <r>
    <s v="ORD-00672"/>
    <x v="311"/>
    <x v="3"/>
    <x v="2"/>
    <x v="3"/>
    <n v="2"/>
    <n v="120"/>
    <n v="204"/>
    <n v="0.15"/>
    <n v="-8.09"/>
    <s v="Online"/>
    <s v="Small Business"/>
  </r>
  <r>
    <s v="ORD-00673"/>
    <x v="208"/>
    <x v="4"/>
    <x v="2"/>
    <x v="9"/>
    <n v="1"/>
    <n v="450"/>
    <n v="405"/>
    <n v="0.1"/>
    <n v="-13.76"/>
    <s v="Retail Store"/>
    <s v="Corporate"/>
  </r>
  <r>
    <s v="ORD-00674"/>
    <x v="244"/>
    <x v="1"/>
    <x v="2"/>
    <x v="13"/>
    <n v="3"/>
    <n v="250"/>
    <n v="675"/>
    <n v="0.1"/>
    <n v="114.49"/>
    <s v="Retail Store"/>
    <s v="Corporate"/>
  </r>
  <r>
    <s v="ORD-00675"/>
    <x v="79"/>
    <x v="2"/>
    <x v="2"/>
    <x v="9"/>
    <n v="5"/>
    <n v="450"/>
    <n v="2137.5"/>
    <n v="0.05"/>
    <n v="611.88"/>
    <s v="Retail Store"/>
    <s v="Corporate"/>
  </r>
  <r>
    <s v="ORD-00676"/>
    <x v="227"/>
    <x v="0"/>
    <x v="1"/>
    <x v="5"/>
    <n v="5"/>
    <n v="2800"/>
    <n v="14000"/>
    <n v="0"/>
    <n v="4470.22"/>
    <s v="Retail Store"/>
    <s v="Consumer"/>
  </r>
  <r>
    <s v="ORD-00677"/>
    <x v="216"/>
    <x v="4"/>
    <x v="0"/>
    <x v="10"/>
    <n v="8"/>
    <n v="2500"/>
    <n v="17000"/>
    <n v="0.15"/>
    <n v="804.84"/>
    <s v="Retail Store"/>
    <s v="Small Business"/>
  </r>
  <r>
    <s v="ORD-00678"/>
    <x v="25"/>
    <x v="1"/>
    <x v="3"/>
    <x v="4"/>
    <n v="2"/>
    <n v="1800"/>
    <n v="2880"/>
    <n v="0.2"/>
    <n v="208.09"/>
    <s v="Online"/>
    <s v="Corporate"/>
  </r>
  <r>
    <s v="ORD-00679"/>
    <x v="164"/>
    <x v="4"/>
    <x v="2"/>
    <x v="13"/>
    <n v="2"/>
    <n v="250"/>
    <n v="400"/>
    <n v="0.2"/>
    <n v="29.81"/>
    <s v="Online"/>
    <s v="Small Business"/>
  </r>
  <r>
    <s v="ORD-00680"/>
    <x v="312"/>
    <x v="1"/>
    <x v="2"/>
    <x v="3"/>
    <n v="3"/>
    <n v="120"/>
    <n v="324"/>
    <n v="0.1"/>
    <n v="31.11"/>
    <s v="Online"/>
    <s v="Consumer"/>
  </r>
  <r>
    <s v="ORD-00681"/>
    <x v="243"/>
    <x v="4"/>
    <x v="2"/>
    <x v="9"/>
    <n v="7"/>
    <n v="450"/>
    <n v="2835"/>
    <n v="0.1"/>
    <n v="687.96"/>
    <s v="Online"/>
    <s v="Corporate"/>
  </r>
  <r>
    <s v="ORD-00682"/>
    <x v="304"/>
    <x v="2"/>
    <x v="0"/>
    <x v="0"/>
    <n v="5"/>
    <n v="1200"/>
    <n v="5100"/>
    <n v="0.15"/>
    <n v="350.75"/>
    <s v="Online"/>
    <s v="Small Business"/>
  </r>
  <r>
    <s v="ORD-00683"/>
    <x v="10"/>
    <x v="2"/>
    <x v="1"/>
    <x v="16"/>
    <n v="4"/>
    <n v="400"/>
    <n v="1600"/>
    <n v="0"/>
    <n v="399.51"/>
    <s v="Wholesale"/>
    <s v="Corporate"/>
  </r>
  <r>
    <s v="ORD-00684"/>
    <x v="180"/>
    <x v="2"/>
    <x v="0"/>
    <x v="2"/>
    <n v="3"/>
    <n v="3200"/>
    <n v="9600"/>
    <n v="0"/>
    <n v="4011.42"/>
    <s v="Wholesale"/>
    <s v="Consumer"/>
  </r>
  <r>
    <s v="ORD-00685"/>
    <x v="2"/>
    <x v="1"/>
    <x v="1"/>
    <x v="14"/>
    <n v="8"/>
    <n v="3200"/>
    <n v="21760"/>
    <n v="0.15"/>
    <n v="7201.78"/>
    <s v="Retail Store"/>
    <s v="Corporate"/>
  </r>
  <r>
    <s v="ORD-00686"/>
    <x v="240"/>
    <x v="3"/>
    <x v="0"/>
    <x v="17"/>
    <n v="5"/>
    <n v="14000"/>
    <n v="70000"/>
    <n v="0"/>
    <n v="16390.3"/>
    <s v="Wholesale"/>
    <s v="Corporate"/>
  </r>
  <r>
    <s v="ORD-00687"/>
    <x v="313"/>
    <x v="3"/>
    <x v="2"/>
    <x v="6"/>
    <n v="3"/>
    <n v="600"/>
    <n v="1530"/>
    <n v="0.15"/>
    <n v="153.22"/>
    <s v="Retail Store"/>
    <s v="Consumer"/>
  </r>
  <r>
    <s v="ORD-00688"/>
    <x v="84"/>
    <x v="4"/>
    <x v="3"/>
    <x v="15"/>
    <n v="5"/>
    <n v="8500"/>
    <n v="38250"/>
    <n v="0.1"/>
    <n v="6873.15"/>
    <s v="Retail Store"/>
    <s v="Consumer"/>
  </r>
  <r>
    <s v="ORD-00689"/>
    <x v="198"/>
    <x v="2"/>
    <x v="3"/>
    <x v="11"/>
    <n v="7"/>
    <n v="7000"/>
    <n v="49000"/>
    <n v="0"/>
    <n v="20176.88"/>
    <s v="Wholesale"/>
    <s v="Small Business"/>
  </r>
  <r>
    <s v="ORD-00690"/>
    <x v="222"/>
    <x v="1"/>
    <x v="3"/>
    <x v="4"/>
    <n v="8"/>
    <n v="1800"/>
    <n v="14400"/>
    <n v="0"/>
    <n v="3342.86"/>
    <s v="Online"/>
    <s v="Small Business"/>
  </r>
  <r>
    <s v="ORD-00691"/>
    <x v="167"/>
    <x v="4"/>
    <x v="2"/>
    <x v="8"/>
    <n v="2"/>
    <n v="180"/>
    <n v="360"/>
    <n v="0"/>
    <n v="71.78"/>
    <s v="Online"/>
    <s v="Consumer"/>
  </r>
  <r>
    <s v="ORD-00692"/>
    <x v="290"/>
    <x v="0"/>
    <x v="1"/>
    <x v="5"/>
    <n v="2"/>
    <n v="2800"/>
    <n v="5600"/>
    <n v="0"/>
    <n v="1239.04"/>
    <s v="Retail Store"/>
    <s v="Corporate"/>
  </r>
  <r>
    <s v="ORD-00693"/>
    <x v="42"/>
    <x v="0"/>
    <x v="0"/>
    <x v="0"/>
    <n v="2"/>
    <n v="1200"/>
    <n v="2280"/>
    <n v="0.05"/>
    <n v="618.69000000000005"/>
    <s v="Retail Store"/>
    <s v="Consumer"/>
  </r>
  <r>
    <s v="ORD-00694"/>
    <x v="147"/>
    <x v="1"/>
    <x v="3"/>
    <x v="11"/>
    <n v="10"/>
    <n v="7000"/>
    <n v="56000"/>
    <n v="0.2"/>
    <n v="9917.82"/>
    <s v="Wholesale"/>
    <s v="Small Business"/>
  </r>
  <r>
    <s v="ORD-00695"/>
    <x v="97"/>
    <x v="0"/>
    <x v="0"/>
    <x v="2"/>
    <n v="3"/>
    <n v="3200"/>
    <n v="9600"/>
    <n v="0"/>
    <n v="2424.12"/>
    <s v="Online"/>
    <s v="Small Business"/>
  </r>
  <r>
    <s v="ORD-00696"/>
    <x v="158"/>
    <x v="2"/>
    <x v="0"/>
    <x v="2"/>
    <n v="8"/>
    <n v="3200"/>
    <n v="23040"/>
    <n v="0.1"/>
    <n v="2381.88"/>
    <s v="Wholesale"/>
    <s v="Corporate"/>
  </r>
  <r>
    <s v="ORD-00697"/>
    <x v="251"/>
    <x v="1"/>
    <x v="2"/>
    <x v="6"/>
    <n v="6"/>
    <n v="600"/>
    <n v="3600"/>
    <n v="0"/>
    <n v="667.9"/>
    <s v="Wholesale"/>
    <s v="Consumer"/>
  </r>
  <r>
    <s v="ORD-00698"/>
    <x v="314"/>
    <x v="3"/>
    <x v="3"/>
    <x v="11"/>
    <n v="8"/>
    <n v="7000"/>
    <n v="50400"/>
    <n v="0.1"/>
    <n v="15942.84"/>
    <s v="Wholesale"/>
    <s v="Consumer"/>
  </r>
  <r>
    <s v="ORD-00699"/>
    <x v="251"/>
    <x v="3"/>
    <x v="0"/>
    <x v="17"/>
    <n v="1"/>
    <n v="14000"/>
    <n v="14000"/>
    <n v="0"/>
    <n v="6016.68"/>
    <s v="Retail Store"/>
    <s v="Consumer"/>
  </r>
  <r>
    <s v="ORD-00700"/>
    <x v="258"/>
    <x v="2"/>
    <x v="0"/>
    <x v="7"/>
    <n v="5"/>
    <n v="65000"/>
    <n v="308750"/>
    <n v="0.05"/>
    <n v="110094.15"/>
    <s v="Retail Store"/>
    <s v="Corporate"/>
  </r>
  <r>
    <s v="ORD-00701"/>
    <x v="238"/>
    <x v="4"/>
    <x v="1"/>
    <x v="1"/>
    <n v="10"/>
    <n v="650"/>
    <n v="5200"/>
    <n v="0.2"/>
    <n v="85.78"/>
    <s v="Online"/>
    <s v="Consumer"/>
  </r>
  <r>
    <s v="ORD-00702"/>
    <x v="253"/>
    <x v="4"/>
    <x v="1"/>
    <x v="1"/>
    <n v="1"/>
    <n v="650"/>
    <n v="650"/>
    <n v="0"/>
    <n v="-60.56"/>
    <s v="Online"/>
    <s v="Corporate"/>
  </r>
  <r>
    <s v="ORD-00703"/>
    <x v="110"/>
    <x v="4"/>
    <x v="3"/>
    <x v="4"/>
    <n v="6"/>
    <n v="1800"/>
    <n v="9180"/>
    <n v="0.15"/>
    <n v="-266.85000000000002"/>
    <s v="Online"/>
    <s v="Consumer"/>
  </r>
  <r>
    <s v="ORD-00704"/>
    <x v="222"/>
    <x v="1"/>
    <x v="3"/>
    <x v="11"/>
    <n v="10"/>
    <n v="7000"/>
    <n v="59500"/>
    <n v="0.15"/>
    <n v="17186.560000000001"/>
    <s v="Retail Store"/>
    <s v="Small Business"/>
  </r>
  <r>
    <s v="ORD-00705"/>
    <x v="124"/>
    <x v="0"/>
    <x v="0"/>
    <x v="7"/>
    <n v="2"/>
    <n v="65000"/>
    <n v="104000"/>
    <n v="0.2"/>
    <n v="-1467.45"/>
    <s v="Retail Store"/>
    <s v="Consumer"/>
  </r>
  <r>
    <s v="ORD-00706"/>
    <x v="315"/>
    <x v="1"/>
    <x v="1"/>
    <x v="5"/>
    <n v="3"/>
    <n v="2800"/>
    <n v="8400"/>
    <n v="0"/>
    <n v="2232.0100000000002"/>
    <s v="Online"/>
    <s v="Consumer"/>
  </r>
  <r>
    <s v="ORD-00707"/>
    <x v="182"/>
    <x v="2"/>
    <x v="2"/>
    <x v="3"/>
    <n v="7"/>
    <n v="120"/>
    <n v="672"/>
    <n v="0.2"/>
    <n v="157.56"/>
    <s v="Online"/>
    <s v="Small Business"/>
  </r>
  <r>
    <s v="ORD-00708"/>
    <x v="228"/>
    <x v="4"/>
    <x v="2"/>
    <x v="3"/>
    <n v="5"/>
    <n v="120"/>
    <n v="600"/>
    <n v="0"/>
    <n v="131.66999999999999"/>
    <s v="Online"/>
    <s v="Consumer"/>
  </r>
  <r>
    <s v="ORD-00709"/>
    <x v="272"/>
    <x v="1"/>
    <x v="3"/>
    <x v="4"/>
    <n v="6"/>
    <n v="1800"/>
    <n v="10800"/>
    <n v="0"/>
    <n v="4307.8900000000003"/>
    <s v="Wholesale"/>
    <s v="Small Business"/>
  </r>
  <r>
    <s v="ORD-00710"/>
    <x v="280"/>
    <x v="2"/>
    <x v="3"/>
    <x v="15"/>
    <n v="9"/>
    <n v="8500"/>
    <n v="72675"/>
    <n v="0.05"/>
    <n v="26171.89"/>
    <s v="Wholesale"/>
    <s v="Consumer"/>
  </r>
  <r>
    <s v="ORD-00711"/>
    <x v="189"/>
    <x v="0"/>
    <x v="4"/>
    <x v="5"/>
    <n v="1"/>
    <n v="2800"/>
    <n v="2800"/>
    <n v="0"/>
    <n v="1111.71"/>
    <s v="Retail Store"/>
    <s v="Corporate"/>
  </r>
  <r>
    <s v="ORD-00712"/>
    <x v="275"/>
    <x v="1"/>
    <x v="0"/>
    <x v="0"/>
    <n v="1"/>
    <n v="1200"/>
    <n v="1200"/>
    <n v="0"/>
    <n v="422.51"/>
    <s v="Wholesale"/>
    <s v="Small Business"/>
  </r>
  <r>
    <s v="ORD-00713"/>
    <x v="161"/>
    <x v="3"/>
    <x v="0"/>
    <x v="12"/>
    <n v="5"/>
    <n v="700"/>
    <n v="3150"/>
    <n v="0.1"/>
    <n v="0"/>
    <s v="Retail Store"/>
    <s v="Small Business"/>
  </r>
  <r>
    <s v="ORD-00714"/>
    <x v="249"/>
    <x v="1"/>
    <x v="2"/>
    <x v="9"/>
    <n v="2"/>
    <n v="450"/>
    <n v="810"/>
    <n v="0.1"/>
    <n v="308.12"/>
    <s v="Online"/>
    <s v="Consumer"/>
  </r>
  <r>
    <s v="ORD-00715"/>
    <x v="112"/>
    <x v="4"/>
    <x v="2"/>
    <x v="13"/>
    <n v="3"/>
    <n v="250"/>
    <n v="712.5"/>
    <n v="0.05"/>
    <n v="177.82"/>
    <s v="Online"/>
    <s v="Consumer"/>
  </r>
  <r>
    <s v="ORD-00716"/>
    <x v="227"/>
    <x v="1"/>
    <x v="1"/>
    <x v="16"/>
    <n v="3"/>
    <n v="400"/>
    <n v="1200"/>
    <n v="0"/>
    <n v="516.95000000000005"/>
    <s v="Wholesale"/>
    <s v="Corporate"/>
  </r>
  <r>
    <s v="ORD-00717"/>
    <x v="243"/>
    <x v="4"/>
    <x v="1"/>
    <x v="1"/>
    <n v="2"/>
    <n v="650"/>
    <n v="1300"/>
    <n v="0"/>
    <n v="474.37"/>
    <s v="Retail Store"/>
    <s v="Small Business"/>
  </r>
  <r>
    <s v="ORD-00718"/>
    <x v="36"/>
    <x v="1"/>
    <x v="1"/>
    <x v="1"/>
    <n v="8"/>
    <n v="650"/>
    <n v="4420"/>
    <n v="0.15"/>
    <n v="1428.77"/>
    <s v="Wholesale"/>
    <s v="Small Business"/>
  </r>
  <r>
    <s v="ORD-00719"/>
    <x v="200"/>
    <x v="2"/>
    <x v="2"/>
    <x v="13"/>
    <n v="7"/>
    <n v="250"/>
    <n v="1750"/>
    <n v="0"/>
    <n v="664.98"/>
    <s v="Wholesale"/>
    <s v="Consumer"/>
  </r>
  <r>
    <s v="ORD-00720"/>
    <x v="312"/>
    <x v="1"/>
    <x v="1"/>
    <x v="16"/>
    <n v="3"/>
    <n v="400"/>
    <n v="960"/>
    <n v="0.2"/>
    <n v="-26.32"/>
    <s v="Online"/>
    <s v="Consumer"/>
  </r>
  <r>
    <s v="ORD-00721"/>
    <x v="218"/>
    <x v="0"/>
    <x v="1"/>
    <x v="14"/>
    <n v="2"/>
    <n v="3200"/>
    <n v="6080"/>
    <n v="0.05"/>
    <n v="2312.9699999999998"/>
    <s v="Wholesale"/>
    <s v="Consumer"/>
  </r>
  <r>
    <s v="ORD-00722"/>
    <x v="117"/>
    <x v="2"/>
    <x v="2"/>
    <x v="13"/>
    <n v="6"/>
    <n v="250"/>
    <n v="1500"/>
    <n v="0"/>
    <n v="631.59"/>
    <s v="Online"/>
    <s v="Corporate"/>
  </r>
  <r>
    <s v="ORD-00723"/>
    <x v="33"/>
    <x v="3"/>
    <x v="1"/>
    <x v="16"/>
    <n v="6"/>
    <n v="400"/>
    <n v="2400"/>
    <n v="0"/>
    <n v="857.26"/>
    <s v="Online"/>
    <s v="Small Business"/>
  </r>
  <r>
    <s v="ORD-00724"/>
    <x v="316"/>
    <x v="2"/>
    <x v="2"/>
    <x v="9"/>
    <n v="3"/>
    <n v="450"/>
    <n v="1282.5"/>
    <n v="0.05"/>
    <n v="528.27"/>
    <s v="Online"/>
    <s v="Small Business"/>
  </r>
  <r>
    <s v="ORD-00725"/>
    <x v="250"/>
    <x v="1"/>
    <x v="0"/>
    <x v="12"/>
    <n v="3"/>
    <n v="700"/>
    <n v="1890"/>
    <n v="0.1"/>
    <n v="653.20000000000005"/>
    <s v="Retail Store"/>
    <s v="Consumer"/>
  </r>
  <r>
    <s v="ORD-00726"/>
    <x v="131"/>
    <x v="4"/>
    <x v="1"/>
    <x v="16"/>
    <n v="6"/>
    <n v="400"/>
    <n v="2160"/>
    <n v="0.1"/>
    <n v="420.91"/>
    <s v="Retail Store"/>
    <s v="Consumer"/>
  </r>
  <r>
    <s v="ORD-00727"/>
    <x v="49"/>
    <x v="1"/>
    <x v="2"/>
    <x v="9"/>
    <n v="5"/>
    <n v="450"/>
    <n v="2250"/>
    <n v="0"/>
    <n v="864.04"/>
    <s v="Online"/>
    <s v="Corporate"/>
  </r>
  <r>
    <s v="ORD-00728"/>
    <x v="216"/>
    <x v="2"/>
    <x v="1"/>
    <x v="5"/>
    <n v="7"/>
    <n v="2800"/>
    <n v="17640"/>
    <n v="0.1"/>
    <n v="3349.23"/>
    <s v="Wholesale"/>
    <s v="Consumer"/>
  </r>
  <r>
    <s v="ORD-00729"/>
    <x v="298"/>
    <x v="0"/>
    <x v="1"/>
    <x v="5"/>
    <n v="2"/>
    <n v="2800"/>
    <n v="4480"/>
    <n v="0.2"/>
    <n v="802.6"/>
    <s v="Retail Store"/>
    <s v="Consumer"/>
  </r>
  <r>
    <s v="ORD-00730"/>
    <x v="253"/>
    <x v="2"/>
    <x v="3"/>
    <x v="11"/>
    <n v="3"/>
    <n v="7000"/>
    <n v="16800"/>
    <n v="0.2"/>
    <n v="2617.9699999999998"/>
    <s v="Online"/>
    <s v="Small Business"/>
  </r>
  <r>
    <s v="ORD-00731"/>
    <x v="179"/>
    <x v="3"/>
    <x v="0"/>
    <x v="17"/>
    <n v="9"/>
    <n v="14000"/>
    <n v="107100"/>
    <n v="0.15"/>
    <n v="24512.98"/>
    <s v="Retail Store"/>
    <s v="Corporate"/>
  </r>
  <r>
    <s v="ORD-00732"/>
    <x v="317"/>
    <x v="1"/>
    <x v="3"/>
    <x v="15"/>
    <n v="7"/>
    <n v="8500"/>
    <n v="50575"/>
    <n v="0.15"/>
    <n v="11457.03"/>
    <s v="Wholesale"/>
    <s v="Small Business"/>
  </r>
  <r>
    <s v="ORD-00733"/>
    <x v="305"/>
    <x v="3"/>
    <x v="2"/>
    <x v="6"/>
    <n v="1"/>
    <n v="600"/>
    <n v="600"/>
    <n v="0"/>
    <n v="112.71"/>
    <s v="Online"/>
    <s v="Consumer"/>
  </r>
  <r>
    <s v="ORD-00734"/>
    <x v="183"/>
    <x v="0"/>
    <x v="3"/>
    <x v="4"/>
    <n v="9"/>
    <n v="12000"/>
    <n v="108000"/>
    <n v="0"/>
    <n v="48458.23"/>
    <s v="Online"/>
    <s v="Corporate"/>
  </r>
  <r>
    <s v="ORD-00735"/>
    <x v="92"/>
    <x v="2"/>
    <x v="0"/>
    <x v="17"/>
    <n v="10"/>
    <n v="14000"/>
    <n v="140000"/>
    <n v="0"/>
    <n v="38419.53"/>
    <s v="Retail Store"/>
    <s v="Small Business"/>
  </r>
  <r>
    <s v="ORD-00736"/>
    <x v="52"/>
    <x v="0"/>
    <x v="3"/>
    <x v="4"/>
    <n v="4"/>
    <n v="12000"/>
    <n v="48000"/>
    <n v="0"/>
    <n v="8879.52"/>
    <s v="Wholesale"/>
    <s v="Corporate"/>
  </r>
  <r>
    <s v="ORD-00737"/>
    <x v="131"/>
    <x v="0"/>
    <x v="3"/>
    <x v="15"/>
    <n v="3"/>
    <n v="8500"/>
    <n v="25500"/>
    <n v="0"/>
    <n v="6127.49"/>
    <s v="Retail Store"/>
    <s v="Small Business"/>
  </r>
  <r>
    <s v="ORD-00738"/>
    <x v="278"/>
    <x v="2"/>
    <x v="2"/>
    <x v="3"/>
    <n v="8"/>
    <n v="120"/>
    <n v="912"/>
    <n v="0.05"/>
    <n v="284.3"/>
    <s v="Online"/>
    <s v="Small Business"/>
  </r>
  <r>
    <s v="ORD-00739"/>
    <x v="149"/>
    <x v="4"/>
    <x v="1"/>
    <x v="5"/>
    <n v="2"/>
    <n v="2800"/>
    <n v="5600"/>
    <n v="0"/>
    <n v="-466.68"/>
    <s v="Retail Store"/>
    <s v="Small Business"/>
  </r>
  <r>
    <s v="ORD-00740"/>
    <x v="108"/>
    <x v="4"/>
    <x v="3"/>
    <x v="4"/>
    <n v="7"/>
    <n v="12000"/>
    <n v="84000"/>
    <n v="0"/>
    <n v="31196.03"/>
    <s v="Retail Store"/>
    <s v="Small Business"/>
  </r>
  <r>
    <s v="ORD-00741"/>
    <x v="197"/>
    <x v="3"/>
    <x v="2"/>
    <x v="6"/>
    <n v="2"/>
    <n v="600"/>
    <n v="960"/>
    <n v="0.2"/>
    <n v="114.6"/>
    <s v="Retail Store"/>
    <s v="Consumer"/>
  </r>
  <r>
    <s v="ORD-00742"/>
    <x v="196"/>
    <x v="0"/>
    <x v="3"/>
    <x v="11"/>
    <n v="2"/>
    <n v="7000"/>
    <n v="12600"/>
    <n v="0.1"/>
    <n v="2766.22"/>
    <s v="Wholesale"/>
    <s v="Small Business"/>
  </r>
  <r>
    <s v="ORD-00743"/>
    <x v="276"/>
    <x v="3"/>
    <x v="1"/>
    <x v="1"/>
    <n v="5"/>
    <n v="650"/>
    <n v="3250"/>
    <n v="0"/>
    <n v="1246.3"/>
    <s v="Wholesale"/>
    <s v="Consumer"/>
  </r>
  <r>
    <s v="ORD-00744"/>
    <x v="190"/>
    <x v="0"/>
    <x v="1"/>
    <x v="1"/>
    <n v="3"/>
    <n v="650"/>
    <n v="1852.5"/>
    <n v="0.05"/>
    <n v="545.16999999999996"/>
    <s v="Online"/>
    <s v="Small Business"/>
  </r>
  <r>
    <s v="ORD-00745"/>
    <x v="308"/>
    <x v="1"/>
    <x v="1"/>
    <x v="16"/>
    <n v="2"/>
    <n v="400"/>
    <n v="800"/>
    <n v="0"/>
    <n v="245.72"/>
    <s v="Retail Store"/>
    <s v="Consumer"/>
  </r>
  <r>
    <s v="ORD-00746"/>
    <x v="240"/>
    <x v="1"/>
    <x v="3"/>
    <x v="4"/>
    <n v="7"/>
    <n v="12000"/>
    <n v="84000"/>
    <n v="0"/>
    <n v="16397.939999999999"/>
    <s v="Wholesale"/>
    <s v="Small Business"/>
  </r>
  <r>
    <s v="ORD-00747"/>
    <x v="206"/>
    <x v="1"/>
    <x v="1"/>
    <x v="16"/>
    <n v="2"/>
    <n v="400"/>
    <n v="720"/>
    <n v="0.1"/>
    <n v="265.43"/>
    <s v="Wholesale"/>
    <s v="Small Business"/>
  </r>
  <r>
    <s v="ORD-00748"/>
    <x v="81"/>
    <x v="2"/>
    <x v="3"/>
    <x v="15"/>
    <n v="7"/>
    <n v="8500"/>
    <n v="50575"/>
    <n v="0.15"/>
    <n v="13661.67"/>
    <s v="Wholesale"/>
    <s v="Consumer"/>
  </r>
  <r>
    <s v="ORD-00749"/>
    <x v="2"/>
    <x v="1"/>
    <x v="2"/>
    <x v="6"/>
    <n v="6"/>
    <n v="600"/>
    <n v="3060"/>
    <n v="0.15"/>
    <n v="503.47"/>
    <s v="Retail Store"/>
    <s v="Corporate"/>
  </r>
  <r>
    <s v="ORD-00750"/>
    <x v="98"/>
    <x v="3"/>
    <x v="1"/>
    <x v="1"/>
    <n v="3"/>
    <n v="650"/>
    <n v="1560"/>
    <n v="0.2"/>
    <n v="480.63"/>
    <s v="Online"/>
    <s v="Small Business"/>
  </r>
  <r>
    <s v="ORD-00751"/>
    <x v="300"/>
    <x v="0"/>
    <x v="1"/>
    <x v="1"/>
    <n v="6"/>
    <n v="650"/>
    <n v="3315"/>
    <n v="0.15"/>
    <n v="1089.79"/>
    <s v="Retail Store"/>
    <s v="Consumer"/>
  </r>
  <r>
    <s v="ORD-00752"/>
    <x v="214"/>
    <x v="0"/>
    <x v="3"/>
    <x v="11"/>
    <n v="10"/>
    <n v="7000"/>
    <n v="70000"/>
    <n v="0"/>
    <n v="27059.81"/>
    <s v="Online"/>
    <s v="Corporate"/>
  </r>
  <r>
    <s v="ORD-00753"/>
    <x v="136"/>
    <x v="2"/>
    <x v="1"/>
    <x v="16"/>
    <n v="8"/>
    <n v="400"/>
    <n v="2720"/>
    <n v="0.15"/>
    <n v="-57.5"/>
    <s v="Online"/>
    <s v="Small Business"/>
  </r>
  <r>
    <s v="ORD-00754"/>
    <x v="49"/>
    <x v="3"/>
    <x v="1"/>
    <x v="1"/>
    <n v="9"/>
    <n v="650"/>
    <n v="4680"/>
    <n v="0.2"/>
    <n v="-83.06"/>
    <s v="Online"/>
    <s v="Corporate"/>
  </r>
  <r>
    <s v="ORD-00755"/>
    <x v="306"/>
    <x v="3"/>
    <x v="3"/>
    <x v="4"/>
    <n v="10"/>
    <n v="1800"/>
    <n v="17100"/>
    <n v="0.05"/>
    <n v="5198.6400000000003"/>
    <s v="Online"/>
    <s v="Corporate"/>
  </r>
  <r>
    <s v="ORD-00756"/>
    <x v="66"/>
    <x v="0"/>
    <x v="3"/>
    <x v="11"/>
    <n v="10"/>
    <n v="7000"/>
    <n v="70000"/>
    <n v="0"/>
    <n v="0"/>
    <s v="Online"/>
    <s v="Corporate"/>
  </r>
  <r>
    <s v="ORD-00757"/>
    <x v="256"/>
    <x v="4"/>
    <x v="2"/>
    <x v="13"/>
    <n v="1"/>
    <n v="250"/>
    <n v="250"/>
    <n v="0"/>
    <n v="47.59"/>
    <s v="Retail Store"/>
    <s v="Corporate"/>
  </r>
  <r>
    <s v="ORD-00758"/>
    <x v="133"/>
    <x v="1"/>
    <x v="3"/>
    <x v="15"/>
    <n v="2"/>
    <n v="8500"/>
    <n v="16150"/>
    <n v="0.05"/>
    <n v="5496.24"/>
    <s v="Retail Store"/>
    <s v="Small Business"/>
  </r>
  <r>
    <s v="ORD-00759"/>
    <x v="121"/>
    <x v="0"/>
    <x v="0"/>
    <x v="7"/>
    <n v="3"/>
    <n v="65000"/>
    <n v="156000"/>
    <n v="0.2"/>
    <n v="33065.11"/>
    <s v="Online"/>
    <s v="Corporate"/>
  </r>
  <r>
    <s v="ORD-00760"/>
    <x v="160"/>
    <x v="2"/>
    <x v="1"/>
    <x v="1"/>
    <n v="3"/>
    <n v="650"/>
    <n v="1852.5"/>
    <n v="0.05"/>
    <n v="579.5"/>
    <s v="Wholesale"/>
    <s v="Small Business"/>
  </r>
  <r>
    <s v="ORD-00761"/>
    <x v="89"/>
    <x v="1"/>
    <x v="0"/>
    <x v="17"/>
    <n v="1"/>
    <n v="14000"/>
    <n v="11900"/>
    <n v="0.15"/>
    <n v="3968.13"/>
    <s v="Online"/>
    <s v="Corporate"/>
  </r>
  <r>
    <s v="ORD-00762"/>
    <x v="146"/>
    <x v="0"/>
    <x v="2"/>
    <x v="9"/>
    <n v="6"/>
    <n v="450"/>
    <n v="2160"/>
    <n v="0.2"/>
    <n v="248.62"/>
    <s v="Online"/>
    <s v="Corporate"/>
  </r>
  <r>
    <s v="ORD-00763"/>
    <x v="293"/>
    <x v="0"/>
    <x v="0"/>
    <x v="10"/>
    <n v="5"/>
    <n v="2500"/>
    <n v="10625"/>
    <n v="0.15"/>
    <n v="0"/>
    <s v="Online"/>
    <s v="Small Business"/>
  </r>
  <r>
    <s v="ORD-00764"/>
    <x v="175"/>
    <x v="0"/>
    <x v="2"/>
    <x v="3"/>
    <n v="2"/>
    <n v="120"/>
    <n v="192"/>
    <n v="0.2"/>
    <n v="52.63"/>
    <s v="Retail Store"/>
    <s v="Small Business"/>
  </r>
  <r>
    <s v="ORD-00765"/>
    <x v="155"/>
    <x v="4"/>
    <x v="2"/>
    <x v="13"/>
    <n v="1"/>
    <n v="250"/>
    <n v="200"/>
    <n v="0.2"/>
    <n v="41.01"/>
    <s v="Online"/>
    <s v="Corporate"/>
  </r>
  <r>
    <s v="ORD-00766"/>
    <x v="318"/>
    <x v="1"/>
    <x v="3"/>
    <x v="15"/>
    <n v="5"/>
    <n v="8500"/>
    <n v="34000"/>
    <n v="0.2"/>
    <n v="10618.16"/>
    <s v="Retail Store"/>
    <s v="Corporate"/>
  </r>
  <r>
    <s v="ORD-00767"/>
    <x v="164"/>
    <x v="3"/>
    <x v="2"/>
    <x v="8"/>
    <n v="3"/>
    <n v="180"/>
    <n v="540"/>
    <n v="0"/>
    <n v="0"/>
    <s v="Retail Store"/>
    <s v="Small Business"/>
  </r>
  <r>
    <s v="ORD-00768"/>
    <x v="319"/>
    <x v="2"/>
    <x v="1"/>
    <x v="14"/>
    <n v="2"/>
    <n v="3200"/>
    <n v="6080"/>
    <n v="0.05"/>
    <n v="2421.3200000000002"/>
    <s v="Retail Store"/>
    <s v="Corporate"/>
  </r>
  <r>
    <s v="ORD-00769"/>
    <x v="320"/>
    <x v="4"/>
    <x v="3"/>
    <x v="15"/>
    <n v="5"/>
    <n v="8500"/>
    <n v="40375"/>
    <n v="0.05"/>
    <n v="11343.61"/>
    <s v="Retail Store"/>
    <s v="Corporate"/>
  </r>
  <r>
    <s v="ORD-00770"/>
    <x v="162"/>
    <x v="1"/>
    <x v="1"/>
    <x v="5"/>
    <n v="1"/>
    <n v="2800"/>
    <n v="2520"/>
    <n v="0.1"/>
    <n v="-29.27"/>
    <s v="Retail Store"/>
    <s v="Consumer"/>
  </r>
  <r>
    <s v="ORD-00771"/>
    <x v="247"/>
    <x v="2"/>
    <x v="2"/>
    <x v="3"/>
    <n v="7"/>
    <n v="120"/>
    <n v="756"/>
    <n v="0.1"/>
    <n v="292.69"/>
    <s v="Online"/>
    <s v="Consumer"/>
  </r>
  <r>
    <s v="ORD-00772"/>
    <x v="85"/>
    <x v="0"/>
    <x v="3"/>
    <x v="4"/>
    <n v="5"/>
    <n v="1800"/>
    <n v="9000"/>
    <n v="0"/>
    <n v="2141.42"/>
    <s v="Wholesale"/>
    <s v="Small Business"/>
  </r>
  <r>
    <s v="ORD-00773"/>
    <x v="256"/>
    <x v="1"/>
    <x v="1"/>
    <x v="1"/>
    <n v="9"/>
    <n v="650"/>
    <n v="4680"/>
    <n v="0.2"/>
    <n v="589.04999999999995"/>
    <s v="Retail Store"/>
    <s v="Consumer"/>
  </r>
  <r>
    <s v="ORD-00774"/>
    <x v="321"/>
    <x v="4"/>
    <x v="3"/>
    <x v="15"/>
    <n v="2"/>
    <n v="8500"/>
    <n v="17000"/>
    <n v="0"/>
    <n v="4511.76"/>
    <s v="Retail Store"/>
    <s v="Consumer"/>
  </r>
  <r>
    <s v="ORD-00775"/>
    <x v="211"/>
    <x v="3"/>
    <x v="3"/>
    <x v="11"/>
    <n v="5"/>
    <n v="7000"/>
    <n v="31500"/>
    <n v="0.1"/>
    <n v="11974.11"/>
    <s v="Wholesale"/>
    <s v="Corporate"/>
  </r>
  <r>
    <s v="ORD-00776"/>
    <x v="255"/>
    <x v="1"/>
    <x v="0"/>
    <x v="12"/>
    <n v="6"/>
    <n v="700"/>
    <n v="3990"/>
    <n v="0.05"/>
    <n v="847.73"/>
    <s v="Retail Store"/>
    <s v="Small Business"/>
  </r>
  <r>
    <s v="ORD-00777"/>
    <x v="37"/>
    <x v="3"/>
    <x v="2"/>
    <x v="9"/>
    <n v="10"/>
    <n v="450"/>
    <n v="4500"/>
    <n v="0"/>
    <n v="1325.18"/>
    <s v="Wholesale"/>
    <s v="Consumer"/>
  </r>
  <r>
    <s v="ORD-00778"/>
    <x v="46"/>
    <x v="0"/>
    <x v="0"/>
    <x v="17"/>
    <n v="6"/>
    <n v="14000"/>
    <n v="71400"/>
    <n v="0.15"/>
    <n v="7976.45"/>
    <s v="Online"/>
    <s v="Corporate"/>
  </r>
  <r>
    <s v="ORD-00779"/>
    <x v="322"/>
    <x v="1"/>
    <x v="0"/>
    <x v="12"/>
    <n v="5"/>
    <n v="700"/>
    <n v="2800"/>
    <n v="0.2"/>
    <n v="418.39"/>
    <s v="Wholesale"/>
    <s v="Consumer"/>
  </r>
  <r>
    <s v="ORD-00780"/>
    <x v="42"/>
    <x v="1"/>
    <x v="0"/>
    <x v="12"/>
    <n v="2"/>
    <n v="700"/>
    <n v="1120"/>
    <n v="0.2"/>
    <n v="108.66"/>
    <s v="Retail Store"/>
    <s v="Corporate"/>
  </r>
  <r>
    <s v="ORD-00781"/>
    <x v="203"/>
    <x v="3"/>
    <x v="0"/>
    <x v="7"/>
    <n v="10"/>
    <n v="65000"/>
    <n v="552500"/>
    <n v="0.15"/>
    <n v="164760.57999999999"/>
    <s v="Wholesale"/>
    <s v="Small Business"/>
  </r>
  <r>
    <s v="ORD-00782"/>
    <x v="19"/>
    <x v="3"/>
    <x v="3"/>
    <x v="15"/>
    <n v="9"/>
    <n v="8500"/>
    <n v="72675"/>
    <n v="0.05"/>
    <n v="24189.59"/>
    <s v="Online"/>
    <s v="Small Business"/>
  </r>
  <r>
    <s v="ORD-00783"/>
    <x v="97"/>
    <x v="3"/>
    <x v="3"/>
    <x v="11"/>
    <n v="4"/>
    <n v="7000"/>
    <n v="22400"/>
    <n v="0.2"/>
    <n v="2103.1799999999998"/>
    <s v="Wholesale"/>
    <s v="Corporate"/>
  </r>
  <r>
    <s v="ORD-00784"/>
    <x v="35"/>
    <x v="0"/>
    <x v="0"/>
    <x v="7"/>
    <n v="5"/>
    <n v="65000"/>
    <n v="308750"/>
    <n v="0.05"/>
    <n v="110029.25"/>
    <s v="Retail Store"/>
    <s v="Corporate"/>
  </r>
  <r>
    <s v="ORD-00785"/>
    <x v="259"/>
    <x v="3"/>
    <x v="2"/>
    <x v="13"/>
    <n v="9"/>
    <n v="250"/>
    <n v="2025"/>
    <n v="0.1"/>
    <n v="423.74"/>
    <s v="Retail Store"/>
    <s v="Small Business"/>
  </r>
  <r>
    <s v="ORD-00786"/>
    <x v="194"/>
    <x v="0"/>
    <x v="3"/>
    <x v="4"/>
    <n v="8"/>
    <n v="1800"/>
    <n v="14400"/>
    <n v="0"/>
    <n v="5901.65"/>
    <s v="Online"/>
    <s v="Consumer"/>
  </r>
  <r>
    <s v="ORD-00787"/>
    <x v="48"/>
    <x v="0"/>
    <x v="2"/>
    <x v="6"/>
    <n v="8"/>
    <n v="600"/>
    <n v="4560"/>
    <n v="0.05"/>
    <n v="1197.1099999999999"/>
    <s v="Online"/>
    <s v="Consumer"/>
  </r>
  <r>
    <s v="ORD-00788"/>
    <x v="135"/>
    <x v="0"/>
    <x v="1"/>
    <x v="14"/>
    <n v="4"/>
    <n v="3200"/>
    <n v="10880"/>
    <n v="0.15"/>
    <n v="862.76"/>
    <s v="Online"/>
    <s v="Consumer"/>
  </r>
  <r>
    <s v="ORD-00789"/>
    <x v="238"/>
    <x v="4"/>
    <x v="2"/>
    <x v="6"/>
    <n v="9"/>
    <n v="600"/>
    <n v="5400"/>
    <n v="0"/>
    <n v="1023.03"/>
    <s v="Online"/>
    <s v="Small Business"/>
  </r>
  <r>
    <s v="ORD-00790"/>
    <x v="96"/>
    <x v="0"/>
    <x v="2"/>
    <x v="3"/>
    <n v="10"/>
    <n v="120"/>
    <n v="1080"/>
    <n v="0.1"/>
    <n v="127.59"/>
    <s v="Wholesale"/>
    <s v="Small Business"/>
  </r>
  <r>
    <s v="ORD-00791"/>
    <x v="287"/>
    <x v="4"/>
    <x v="0"/>
    <x v="0"/>
    <n v="5"/>
    <n v="1200"/>
    <n v="5100"/>
    <n v="0.15"/>
    <n v="628.05999999999995"/>
    <s v="Wholesale"/>
    <s v="Consumer"/>
  </r>
  <r>
    <s v="ORD-00792"/>
    <x v="67"/>
    <x v="4"/>
    <x v="0"/>
    <x v="17"/>
    <n v="1"/>
    <n v="14000"/>
    <n v="14000"/>
    <n v="0"/>
    <n v="4026.26"/>
    <s v="Retail Store"/>
    <s v="Small Business"/>
  </r>
  <r>
    <s v="ORD-00793"/>
    <x v="182"/>
    <x v="1"/>
    <x v="1"/>
    <x v="5"/>
    <n v="3"/>
    <n v="2800"/>
    <n v="7980"/>
    <n v="0.05"/>
    <n v="3354.92"/>
    <s v="Online"/>
    <s v="Small Business"/>
  </r>
  <r>
    <s v="ORD-00794"/>
    <x v="263"/>
    <x v="0"/>
    <x v="1"/>
    <x v="1"/>
    <n v="1"/>
    <n v="650"/>
    <n v="520"/>
    <n v="0.2"/>
    <n v="99.04"/>
    <s v="Retail Store"/>
    <s v="Small Business"/>
  </r>
  <r>
    <s v="ORD-00795"/>
    <x v="56"/>
    <x v="2"/>
    <x v="4"/>
    <x v="16"/>
    <n v="4"/>
    <n v="400"/>
    <n v="1600"/>
    <n v="0"/>
    <n v="668.51"/>
    <s v="Online"/>
    <s v="Small Business"/>
  </r>
  <r>
    <s v="ORD-00796"/>
    <x v="155"/>
    <x v="1"/>
    <x v="3"/>
    <x v="4"/>
    <n v="8"/>
    <n v="1800"/>
    <n v="14400"/>
    <n v="0"/>
    <n v="3164"/>
    <s v="Online"/>
    <s v="Corporate"/>
  </r>
  <r>
    <s v="ORD-00797"/>
    <x v="55"/>
    <x v="1"/>
    <x v="1"/>
    <x v="14"/>
    <n v="4"/>
    <n v="3200"/>
    <n v="10880"/>
    <n v="0.15"/>
    <n v="1956.58"/>
    <s v="Online"/>
    <s v="Consumer"/>
  </r>
  <r>
    <s v="ORD-00798"/>
    <x v="323"/>
    <x v="2"/>
    <x v="0"/>
    <x v="10"/>
    <n v="4"/>
    <n v="2500"/>
    <n v="10000"/>
    <n v="0"/>
    <n v="3443.62"/>
    <s v="Online"/>
    <s v="Corporate"/>
  </r>
  <r>
    <s v="ORD-00799"/>
    <x v="239"/>
    <x v="3"/>
    <x v="2"/>
    <x v="6"/>
    <n v="10"/>
    <n v="600"/>
    <n v="6000"/>
    <n v="0"/>
    <n v="1409.71"/>
    <s v="Online"/>
    <s v="Consumer"/>
  </r>
  <r>
    <s v="ORD-00800"/>
    <x v="205"/>
    <x v="1"/>
    <x v="0"/>
    <x v="0"/>
    <n v="2"/>
    <n v="1200"/>
    <n v="2160"/>
    <n v="0.1"/>
    <n v="-132.78"/>
    <s v="Retail Store"/>
    <s v="Consumer"/>
  </r>
  <r>
    <s v="ORD-00801"/>
    <x v="322"/>
    <x v="2"/>
    <x v="1"/>
    <x v="5"/>
    <n v="1"/>
    <n v="2800"/>
    <n v="2660"/>
    <n v="0.05"/>
    <n v="742.4"/>
    <s v="Retail Store"/>
    <s v="Corporate"/>
  </r>
  <r>
    <s v="ORD-00802"/>
    <x v="47"/>
    <x v="3"/>
    <x v="0"/>
    <x v="0"/>
    <n v="3"/>
    <n v="1200"/>
    <n v="3240"/>
    <n v="0.1"/>
    <n v="-237.46"/>
    <s v="Retail Store"/>
    <s v="Consumer"/>
  </r>
  <r>
    <s v="ORD-00803"/>
    <x v="194"/>
    <x v="4"/>
    <x v="1"/>
    <x v="14"/>
    <n v="5"/>
    <n v="3200"/>
    <n v="16000"/>
    <n v="0"/>
    <n v="2991.77"/>
    <s v="Online"/>
    <s v="Corporate"/>
  </r>
  <r>
    <s v="ORD-00804"/>
    <x v="3"/>
    <x v="3"/>
    <x v="2"/>
    <x v="9"/>
    <n v="2"/>
    <n v="450"/>
    <n v="810"/>
    <n v="0.1"/>
    <n v="-139.97999999999999"/>
    <s v="Retail Store"/>
    <s v="Corporate"/>
  </r>
  <r>
    <s v="ORD-00805"/>
    <x v="50"/>
    <x v="0"/>
    <x v="3"/>
    <x v="15"/>
    <n v="7"/>
    <n v="8500"/>
    <n v="47600"/>
    <n v="0.2"/>
    <n v="14686.07"/>
    <s v="Wholesale"/>
    <s v="Small Business"/>
  </r>
  <r>
    <s v="ORD-00806"/>
    <x v="9"/>
    <x v="0"/>
    <x v="0"/>
    <x v="17"/>
    <n v="6"/>
    <n v="14000"/>
    <n v="75600"/>
    <n v="0.1"/>
    <n v="11637"/>
    <s v="Online"/>
    <s v="Corporate"/>
  </r>
  <r>
    <s v="ORD-00807"/>
    <x v="260"/>
    <x v="2"/>
    <x v="0"/>
    <x v="0"/>
    <n v="9"/>
    <n v="1200"/>
    <n v="9180"/>
    <n v="0.15"/>
    <n v="3047.69"/>
    <s v="Retail Store"/>
    <s v="Small Business"/>
  </r>
  <r>
    <s v="ORD-00808"/>
    <x v="63"/>
    <x v="1"/>
    <x v="2"/>
    <x v="3"/>
    <n v="5"/>
    <n v="120"/>
    <n v="600"/>
    <n v="0"/>
    <n v="174.34"/>
    <s v="Online"/>
    <s v="Small Business"/>
  </r>
  <r>
    <s v="ORD-00809"/>
    <x v="17"/>
    <x v="1"/>
    <x v="0"/>
    <x v="7"/>
    <n v="5"/>
    <n v="65000"/>
    <n v="308750"/>
    <n v="0.05"/>
    <n v="84939.73"/>
    <s v="Online"/>
    <s v="Corporate"/>
  </r>
  <r>
    <s v="ORD-00810"/>
    <x v="181"/>
    <x v="1"/>
    <x v="0"/>
    <x v="17"/>
    <n v="4"/>
    <n v="14000"/>
    <n v="44800"/>
    <n v="0.2"/>
    <n v="10712.99"/>
    <s v="Online"/>
    <s v="Corporate"/>
  </r>
  <r>
    <s v="ORD-00811"/>
    <x v="127"/>
    <x v="0"/>
    <x v="2"/>
    <x v="6"/>
    <n v="5"/>
    <n v="600"/>
    <n v="3000"/>
    <n v="0"/>
    <n v="1080.31"/>
    <s v="Online"/>
    <s v="Small Business"/>
  </r>
  <r>
    <s v="ORD-00812"/>
    <x v="66"/>
    <x v="3"/>
    <x v="1"/>
    <x v="1"/>
    <n v="9"/>
    <n v="650"/>
    <n v="5850"/>
    <n v="0"/>
    <n v="2530.38"/>
    <s v="Wholesale"/>
    <s v="Corporate"/>
  </r>
  <r>
    <s v="ORD-00813"/>
    <x v="282"/>
    <x v="2"/>
    <x v="2"/>
    <x v="9"/>
    <n v="7"/>
    <n v="450"/>
    <n v="2677.5"/>
    <n v="0.15"/>
    <n v="170.47"/>
    <s v="Wholesale"/>
    <s v="Corporate"/>
  </r>
  <r>
    <s v="ORD-00814"/>
    <x v="75"/>
    <x v="1"/>
    <x v="1"/>
    <x v="14"/>
    <n v="3"/>
    <n v="3200"/>
    <n v="9120"/>
    <n v="0.05"/>
    <n v="2629.95"/>
    <s v="Online"/>
    <s v="Corporate"/>
  </r>
  <r>
    <s v="ORD-00815"/>
    <x v="188"/>
    <x v="3"/>
    <x v="1"/>
    <x v="14"/>
    <n v="7"/>
    <n v="3200"/>
    <n v="19040"/>
    <n v="0.15"/>
    <n v="3567.96"/>
    <s v="Retail Store"/>
    <s v="Small Business"/>
  </r>
  <r>
    <s v="ORD-00816"/>
    <x v="324"/>
    <x v="4"/>
    <x v="0"/>
    <x v="0"/>
    <n v="8"/>
    <n v="1200"/>
    <n v="7680"/>
    <n v="0.2"/>
    <n v="1751.81"/>
    <s v="Retail Store"/>
    <s v="Corporate"/>
  </r>
  <r>
    <s v="ORD-00817"/>
    <x v="325"/>
    <x v="0"/>
    <x v="0"/>
    <x v="17"/>
    <n v="8"/>
    <n v="14000"/>
    <n v="106400"/>
    <n v="0.05"/>
    <n v="15943.31"/>
    <s v="Wholesale"/>
    <s v="Consumer"/>
  </r>
  <r>
    <s v="ORD-00818"/>
    <x v="19"/>
    <x v="4"/>
    <x v="2"/>
    <x v="6"/>
    <n v="2"/>
    <n v="600"/>
    <n v="1080"/>
    <n v="0.1"/>
    <n v="128.04"/>
    <s v="Online"/>
    <s v="Consumer"/>
  </r>
  <r>
    <s v="ORD-00819"/>
    <x v="159"/>
    <x v="0"/>
    <x v="2"/>
    <x v="13"/>
    <n v="2"/>
    <n v="250"/>
    <n v="425"/>
    <n v="0.15"/>
    <n v="123.47"/>
    <s v="Retail Store"/>
    <s v="Corporate"/>
  </r>
  <r>
    <s v="ORD-00820"/>
    <x v="280"/>
    <x v="3"/>
    <x v="2"/>
    <x v="3"/>
    <n v="1"/>
    <n v="120"/>
    <n v="108"/>
    <n v="0.1"/>
    <n v="22.16"/>
    <s v="Retail Store"/>
    <s v="Small Business"/>
  </r>
  <r>
    <s v="ORD-00821"/>
    <x v="246"/>
    <x v="0"/>
    <x v="1"/>
    <x v="16"/>
    <n v="10"/>
    <n v="400"/>
    <n v="3800"/>
    <n v="0.05"/>
    <n v="798.9"/>
    <s v="Wholesale"/>
    <s v="Small Business"/>
  </r>
  <r>
    <s v="ORD-00822"/>
    <x v="315"/>
    <x v="2"/>
    <x v="3"/>
    <x v="4"/>
    <n v="6"/>
    <n v="1800"/>
    <n v="10800"/>
    <n v="0"/>
    <n v="2878.74"/>
    <s v="Retail Store"/>
    <s v="Small Business"/>
  </r>
  <r>
    <s v="ORD-00823"/>
    <x v="244"/>
    <x v="0"/>
    <x v="2"/>
    <x v="8"/>
    <n v="2"/>
    <n v="180"/>
    <n v="360"/>
    <n v="0"/>
    <n v="82.12"/>
    <s v="Wholesale"/>
    <s v="Consumer"/>
  </r>
  <r>
    <s v="ORD-00824"/>
    <x v="274"/>
    <x v="3"/>
    <x v="2"/>
    <x v="13"/>
    <n v="5"/>
    <n v="250"/>
    <n v="1250"/>
    <n v="0"/>
    <n v="326.01"/>
    <s v="Online"/>
    <s v="Corporate"/>
  </r>
  <r>
    <s v="ORD-00825"/>
    <x v="98"/>
    <x v="1"/>
    <x v="3"/>
    <x v="4"/>
    <n v="1"/>
    <n v="12000"/>
    <n v="10800"/>
    <n v="0.1"/>
    <n v="2653.37"/>
    <s v="Wholesale"/>
    <s v="Consumer"/>
  </r>
  <r>
    <s v="ORD-00826"/>
    <x v="288"/>
    <x v="4"/>
    <x v="2"/>
    <x v="3"/>
    <n v="9"/>
    <n v="120"/>
    <n v="972"/>
    <n v="0.1"/>
    <n v="360.64"/>
    <s v="Retail Store"/>
    <s v="Consumer"/>
  </r>
  <r>
    <s v="ORD-00827"/>
    <x v="326"/>
    <x v="1"/>
    <x v="1"/>
    <x v="14"/>
    <n v="6"/>
    <n v="3200"/>
    <n v="19200"/>
    <n v="0"/>
    <n v="3968.38"/>
    <s v="Online"/>
    <s v="Consumer"/>
  </r>
  <r>
    <s v="ORD-00828"/>
    <x v="35"/>
    <x v="3"/>
    <x v="3"/>
    <x v="4"/>
    <n v="5"/>
    <n v="1800"/>
    <n v="7650"/>
    <n v="0.15"/>
    <n v="2527.08"/>
    <s v="Online"/>
    <s v="Corporate"/>
  </r>
  <r>
    <s v="ORD-00829"/>
    <x v="105"/>
    <x v="4"/>
    <x v="3"/>
    <x v="4"/>
    <n v="6"/>
    <n v="12000"/>
    <n v="72000"/>
    <n v="0"/>
    <n v="20575.310000000001"/>
    <s v="Retail Store"/>
    <s v="Consumer"/>
  </r>
  <r>
    <s v="ORD-00830"/>
    <x v="88"/>
    <x v="2"/>
    <x v="0"/>
    <x v="10"/>
    <n v="7"/>
    <n v="2500"/>
    <n v="14000"/>
    <n v="0.2"/>
    <n v="370.68"/>
    <s v="Wholesale"/>
    <s v="Corporate"/>
  </r>
  <r>
    <s v="ORD-00831"/>
    <x v="162"/>
    <x v="3"/>
    <x v="1"/>
    <x v="1"/>
    <n v="8"/>
    <n v="650"/>
    <n v="4420"/>
    <n v="0.15"/>
    <n v="-653.54999999999995"/>
    <s v="Wholesale"/>
    <s v="Consumer"/>
  </r>
  <r>
    <s v="ORD-00832"/>
    <x v="169"/>
    <x v="4"/>
    <x v="3"/>
    <x v="4"/>
    <n v="6"/>
    <n v="1800"/>
    <n v="10800"/>
    <n v="0"/>
    <n v="4364.3599999999997"/>
    <s v="Wholesale"/>
    <s v="Consumer"/>
  </r>
  <r>
    <s v="ORD-00833"/>
    <x v="327"/>
    <x v="2"/>
    <x v="1"/>
    <x v="16"/>
    <n v="3"/>
    <n v="400"/>
    <n v="1080"/>
    <n v="0.1"/>
    <n v="-274.83999999999997"/>
    <s v="Online"/>
    <s v="Small Business"/>
  </r>
  <r>
    <s v="ORD-00834"/>
    <x v="65"/>
    <x v="1"/>
    <x v="3"/>
    <x v="15"/>
    <n v="8"/>
    <n v="8500"/>
    <n v="61200"/>
    <n v="0.1"/>
    <n v="18949.34"/>
    <s v="Retail Store"/>
    <s v="Small Business"/>
  </r>
  <r>
    <s v="ORD-00835"/>
    <x v="165"/>
    <x v="0"/>
    <x v="0"/>
    <x v="2"/>
    <n v="5"/>
    <n v="3200"/>
    <n v="16000"/>
    <n v="0"/>
    <n v="6052.9"/>
    <s v="Retail Store"/>
    <s v="Small Business"/>
  </r>
  <r>
    <s v="ORD-00836"/>
    <x v="328"/>
    <x v="4"/>
    <x v="1"/>
    <x v="16"/>
    <n v="4"/>
    <n v="400"/>
    <n v="1280"/>
    <n v="0.2"/>
    <n v="119.13"/>
    <s v="Retail Store"/>
    <s v="Corporate"/>
  </r>
  <r>
    <s v="ORD-00837"/>
    <x v="272"/>
    <x v="3"/>
    <x v="2"/>
    <x v="6"/>
    <n v="9"/>
    <n v="600"/>
    <n v="4590"/>
    <n v="0.15"/>
    <n v="1356.35"/>
    <s v="Online"/>
    <s v="Small Business"/>
  </r>
  <r>
    <s v="ORD-00838"/>
    <x v="71"/>
    <x v="3"/>
    <x v="1"/>
    <x v="1"/>
    <n v="10"/>
    <n v="650"/>
    <n v="5850"/>
    <n v="0.1"/>
    <n v="1599.01"/>
    <s v="Wholesale"/>
    <s v="Small Business"/>
  </r>
  <r>
    <s v="ORD-00839"/>
    <x v="308"/>
    <x v="3"/>
    <x v="2"/>
    <x v="9"/>
    <n v="6"/>
    <n v="450"/>
    <n v="2430"/>
    <n v="0.1"/>
    <n v="470.23"/>
    <s v="Wholesale"/>
    <s v="Small Business"/>
  </r>
  <r>
    <s v="ORD-00840"/>
    <x v="201"/>
    <x v="2"/>
    <x v="0"/>
    <x v="7"/>
    <n v="9"/>
    <n v="65000"/>
    <n v="585000"/>
    <n v="0"/>
    <n v="177473.39"/>
    <s v="Online"/>
    <s v="Corporate"/>
  </r>
  <r>
    <s v="ORD-00841"/>
    <x v="141"/>
    <x v="3"/>
    <x v="2"/>
    <x v="6"/>
    <n v="1"/>
    <n v="600"/>
    <n v="570"/>
    <n v="0.05"/>
    <n v="160.38"/>
    <s v="Online"/>
    <s v="Small Business"/>
  </r>
  <r>
    <s v="ORD-00842"/>
    <x v="152"/>
    <x v="3"/>
    <x v="0"/>
    <x v="0"/>
    <n v="8"/>
    <n v="1200"/>
    <n v="9600"/>
    <n v="0"/>
    <n v="2045.51"/>
    <s v="Retail Store"/>
    <s v="Small Business"/>
  </r>
  <r>
    <s v="ORD-00844"/>
    <x v="314"/>
    <x v="1"/>
    <x v="1"/>
    <x v="5"/>
    <n v="8"/>
    <n v="2800"/>
    <n v="20160"/>
    <n v="0.1"/>
    <n v="6969.23"/>
    <s v="Wholesale"/>
    <s v="Small Business"/>
  </r>
  <r>
    <s v="ORD-00845"/>
    <x v="107"/>
    <x v="3"/>
    <x v="1"/>
    <x v="14"/>
    <n v="7"/>
    <n v="3200"/>
    <n v="21280"/>
    <n v="0.05"/>
    <n v="4561.09"/>
    <s v="Retail Store"/>
    <s v="Consumer"/>
  </r>
  <r>
    <s v="ORD-00846"/>
    <x v="56"/>
    <x v="2"/>
    <x v="3"/>
    <x v="4"/>
    <n v="9"/>
    <n v="12000"/>
    <n v="97200"/>
    <n v="0.1"/>
    <n v="26201.32"/>
    <s v="Online"/>
    <s v="Corporate"/>
  </r>
  <r>
    <s v="ORD-00847"/>
    <x v="197"/>
    <x v="0"/>
    <x v="2"/>
    <x v="6"/>
    <n v="10"/>
    <n v="600"/>
    <n v="5700"/>
    <n v="0.05"/>
    <n v="1377.29"/>
    <s v="Online"/>
    <s v="Consumer"/>
  </r>
  <r>
    <s v="ORD-00848"/>
    <x v="181"/>
    <x v="2"/>
    <x v="4"/>
    <x v="6"/>
    <n v="6"/>
    <n v="600"/>
    <n v="3240"/>
    <n v="0.1"/>
    <n v="511.78"/>
    <s v="Wholesale"/>
    <s v="Consumer"/>
  </r>
  <r>
    <s v="ORD-00849"/>
    <x v="242"/>
    <x v="2"/>
    <x v="3"/>
    <x v="15"/>
    <n v="4"/>
    <n v="8500"/>
    <n v="34000"/>
    <n v="0"/>
    <n v="12449.15"/>
    <s v="Retail Store"/>
    <s v="Consumer"/>
  </r>
  <r>
    <s v="ORD-00850"/>
    <x v="23"/>
    <x v="2"/>
    <x v="2"/>
    <x v="3"/>
    <n v="10"/>
    <n v="120"/>
    <n v="1020"/>
    <n v="0.15"/>
    <n v="44.32"/>
    <s v="Wholesale"/>
    <s v="Corporate"/>
  </r>
  <r>
    <s v="ORD-00851"/>
    <x v="111"/>
    <x v="3"/>
    <x v="0"/>
    <x v="2"/>
    <n v="2"/>
    <n v="3200"/>
    <n v="6400"/>
    <n v="0"/>
    <n v="1934.93"/>
    <s v="Online"/>
    <s v="Small Business"/>
  </r>
  <r>
    <s v="ORD-00852"/>
    <x v="299"/>
    <x v="2"/>
    <x v="3"/>
    <x v="4"/>
    <n v="7"/>
    <n v="1800"/>
    <n v="12600"/>
    <n v="0"/>
    <n v="4822.13"/>
    <s v="Retail Store"/>
    <s v="Small Business"/>
  </r>
  <r>
    <s v="ORD-00853"/>
    <x v="322"/>
    <x v="2"/>
    <x v="0"/>
    <x v="17"/>
    <n v="1"/>
    <n v="14000"/>
    <n v="11200"/>
    <n v="0.2"/>
    <n v="-251.47"/>
    <s v="Online"/>
    <s v="Corporate"/>
  </r>
  <r>
    <s v="ORD-00854"/>
    <x v="128"/>
    <x v="3"/>
    <x v="2"/>
    <x v="8"/>
    <n v="5"/>
    <n v="180"/>
    <n v="855"/>
    <n v="0.05"/>
    <n v="-53.6"/>
    <s v="Online"/>
    <s v="Consumer"/>
  </r>
  <r>
    <s v="ORD-00855"/>
    <x v="155"/>
    <x v="4"/>
    <x v="3"/>
    <x v="4"/>
    <n v="4"/>
    <n v="12000"/>
    <n v="38400"/>
    <n v="0.2"/>
    <n v="9773.2199999999993"/>
    <s v="Wholesale"/>
    <s v="Small Business"/>
  </r>
  <r>
    <s v="ORD-00856"/>
    <x v="146"/>
    <x v="0"/>
    <x v="3"/>
    <x v="4"/>
    <n v="8"/>
    <n v="1800"/>
    <n v="14400"/>
    <n v="0"/>
    <n v="3876.92"/>
    <s v="Retail Store"/>
    <s v="Corporate"/>
  </r>
  <r>
    <s v="ORD-00857"/>
    <x v="273"/>
    <x v="1"/>
    <x v="2"/>
    <x v="13"/>
    <n v="4"/>
    <n v="250"/>
    <n v="1000"/>
    <n v="0"/>
    <n v="378.61"/>
    <s v="Online"/>
    <s v="Corporate"/>
  </r>
  <r>
    <s v="ORD-00858"/>
    <x v="307"/>
    <x v="0"/>
    <x v="0"/>
    <x v="12"/>
    <n v="1"/>
    <n v="700"/>
    <n v="700"/>
    <n v="0"/>
    <n v="240.31"/>
    <s v="Wholesale"/>
    <s v="Consumer"/>
  </r>
  <r>
    <s v="ORD-00859"/>
    <x v="218"/>
    <x v="1"/>
    <x v="1"/>
    <x v="5"/>
    <n v="4"/>
    <n v="2800"/>
    <n v="11200"/>
    <n v="0"/>
    <n v="3703.23"/>
    <s v="Retail Store"/>
    <s v="Consumer"/>
  </r>
  <r>
    <s v="ORD-00860"/>
    <x v="10"/>
    <x v="3"/>
    <x v="1"/>
    <x v="14"/>
    <n v="4"/>
    <n v="3200"/>
    <n v="10880"/>
    <n v="0.15"/>
    <n v="1976.7"/>
    <s v="Retail Store"/>
    <s v="Small Business"/>
  </r>
  <r>
    <s v="ORD-00861"/>
    <x v="319"/>
    <x v="4"/>
    <x v="2"/>
    <x v="8"/>
    <n v="4"/>
    <n v="180"/>
    <n v="684"/>
    <n v="0.05"/>
    <n v="233.46"/>
    <s v="Retail Store"/>
    <s v="Small Business"/>
  </r>
  <r>
    <s v="ORD-00862"/>
    <x v="129"/>
    <x v="1"/>
    <x v="2"/>
    <x v="6"/>
    <n v="10"/>
    <n v="600"/>
    <n v="6000"/>
    <n v="0"/>
    <n v="2460.37"/>
    <s v="Retail Store"/>
    <s v="Consumer"/>
  </r>
  <r>
    <s v="ORD-00863"/>
    <x v="27"/>
    <x v="1"/>
    <x v="1"/>
    <x v="14"/>
    <n v="4"/>
    <n v="3200"/>
    <n v="11520"/>
    <n v="0.1"/>
    <n v="2364.81"/>
    <s v="Online"/>
    <s v="Corporate"/>
  </r>
  <r>
    <s v="ORD-00864"/>
    <x v="18"/>
    <x v="1"/>
    <x v="0"/>
    <x v="10"/>
    <n v="8"/>
    <n v="2500"/>
    <n v="18000"/>
    <n v="0.1"/>
    <n v="5381.79"/>
    <s v="Retail Store"/>
    <s v="Consumer"/>
  </r>
  <r>
    <s v="ORD-00865"/>
    <x v="157"/>
    <x v="0"/>
    <x v="0"/>
    <x v="2"/>
    <n v="4"/>
    <n v="3200"/>
    <n v="12800"/>
    <n v="0"/>
    <n v="4154.76"/>
    <s v="Online"/>
    <s v="Small Business"/>
  </r>
  <r>
    <s v="ORD-00866"/>
    <x v="247"/>
    <x v="3"/>
    <x v="2"/>
    <x v="13"/>
    <n v="9"/>
    <n v="250"/>
    <n v="2137.5"/>
    <n v="0.05"/>
    <n v="441.44"/>
    <s v="Retail Store"/>
    <s v="Corporate"/>
  </r>
  <r>
    <s v="ORD-00867"/>
    <x v="272"/>
    <x v="1"/>
    <x v="3"/>
    <x v="11"/>
    <n v="6"/>
    <n v="7000"/>
    <n v="37800"/>
    <n v="0.1"/>
    <n v="12156.32"/>
    <s v="Retail Store"/>
    <s v="Consumer"/>
  </r>
  <r>
    <s v="ORD-00868"/>
    <x v="225"/>
    <x v="4"/>
    <x v="3"/>
    <x v="11"/>
    <n v="8"/>
    <n v="7000"/>
    <n v="53200"/>
    <n v="0.05"/>
    <n v="11946.58"/>
    <s v="Retail Store"/>
    <s v="Corporate"/>
  </r>
  <r>
    <s v="ORD-00869"/>
    <x v="267"/>
    <x v="3"/>
    <x v="0"/>
    <x v="12"/>
    <n v="3"/>
    <n v="700"/>
    <n v="2100"/>
    <n v="0"/>
    <n v="640.94000000000005"/>
    <s v="Online"/>
    <s v="Corporate"/>
  </r>
  <r>
    <s v="ORD-00870"/>
    <x v="268"/>
    <x v="2"/>
    <x v="0"/>
    <x v="10"/>
    <n v="6"/>
    <n v="2500"/>
    <n v="12000"/>
    <n v="0.2"/>
    <n v="1625.68"/>
    <s v="Online"/>
    <s v="Small Business"/>
  </r>
  <r>
    <s v="ORD-00871"/>
    <x v="262"/>
    <x v="4"/>
    <x v="2"/>
    <x v="13"/>
    <n v="6"/>
    <n v="250"/>
    <n v="1500"/>
    <n v="0"/>
    <n v="286.23"/>
    <s v="Retail Store"/>
    <s v="Small Business"/>
  </r>
  <r>
    <s v="ORD-00872"/>
    <x v="91"/>
    <x v="3"/>
    <x v="0"/>
    <x v="7"/>
    <n v="3"/>
    <n v="65000"/>
    <n v="156000"/>
    <n v="0.2"/>
    <n v="4820.1499999999996"/>
    <s v="Online"/>
    <s v="Corporate"/>
  </r>
  <r>
    <s v="ORD-00873"/>
    <x v="172"/>
    <x v="4"/>
    <x v="2"/>
    <x v="3"/>
    <n v="10"/>
    <n v="120"/>
    <n v="1020"/>
    <n v="0.15"/>
    <n v="120.12"/>
    <s v="Online"/>
    <s v="Consumer"/>
  </r>
  <r>
    <s v="ORD-00874"/>
    <x v="251"/>
    <x v="2"/>
    <x v="1"/>
    <x v="14"/>
    <n v="3"/>
    <n v="3200"/>
    <n v="7680"/>
    <n v="0.2"/>
    <n v="189.6"/>
    <s v="Online"/>
    <s v="Small Business"/>
  </r>
  <r>
    <s v="ORD-00875"/>
    <x v="20"/>
    <x v="1"/>
    <x v="1"/>
    <x v="5"/>
    <n v="4"/>
    <n v="2800"/>
    <n v="11200"/>
    <n v="0"/>
    <n v="3860.94"/>
    <s v="Retail Store"/>
    <s v="Corporate"/>
  </r>
  <r>
    <s v="ORD-00876"/>
    <x v="309"/>
    <x v="2"/>
    <x v="1"/>
    <x v="16"/>
    <n v="6"/>
    <n v="400"/>
    <n v="2280"/>
    <n v="0.05"/>
    <n v="386.23"/>
    <s v="Retail Store"/>
    <s v="Corporate"/>
  </r>
  <r>
    <s v="ORD-00877"/>
    <x v="46"/>
    <x v="1"/>
    <x v="2"/>
    <x v="8"/>
    <n v="9"/>
    <n v="180"/>
    <n v="1539"/>
    <n v="0.05"/>
    <n v="551.29999999999995"/>
    <s v="Online"/>
    <s v="Small Business"/>
  </r>
  <r>
    <s v="ORD-00878"/>
    <x v="58"/>
    <x v="4"/>
    <x v="3"/>
    <x v="4"/>
    <n v="1"/>
    <n v="1800"/>
    <n v="1620"/>
    <n v="0.1"/>
    <n v="-414.23"/>
    <s v="Wholesale"/>
    <s v="Corporate"/>
  </r>
  <r>
    <s v="ORD-00879"/>
    <x v="241"/>
    <x v="0"/>
    <x v="3"/>
    <x v="4"/>
    <n v="3"/>
    <n v="12000"/>
    <n v="28800"/>
    <n v="0.2"/>
    <n v="6489.69"/>
    <s v="Wholesale"/>
    <s v="Small Business"/>
  </r>
  <r>
    <s v="ORD-00880"/>
    <x v="258"/>
    <x v="4"/>
    <x v="1"/>
    <x v="16"/>
    <n v="3"/>
    <n v="400"/>
    <n v="1020"/>
    <n v="0.15"/>
    <n v="223.79"/>
    <s v="Wholesale"/>
    <s v="Small Business"/>
  </r>
  <r>
    <s v="ORD-00881"/>
    <x v="293"/>
    <x v="4"/>
    <x v="0"/>
    <x v="10"/>
    <n v="4"/>
    <n v="2500"/>
    <n v="10000"/>
    <n v="0"/>
    <n v="3719.72"/>
    <s v="Wholesale"/>
    <s v="Corporate"/>
  </r>
  <r>
    <s v="ORD-00882"/>
    <x v="27"/>
    <x v="5"/>
    <x v="2"/>
    <x v="13"/>
    <n v="8"/>
    <n v="250"/>
    <n v="1900"/>
    <n v="0.05"/>
    <n v="467.83"/>
    <s v="Retail Store"/>
    <s v="Corporate"/>
  </r>
  <r>
    <s v="ORD-00883"/>
    <x v="0"/>
    <x v="3"/>
    <x v="0"/>
    <x v="7"/>
    <n v="2"/>
    <n v="65000"/>
    <n v="123500"/>
    <n v="0.05"/>
    <n v="26731.73"/>
    <s v="Online"/>
    <s v="Small Business"/>
  </r>
  <r>
    <s v="ORD-00884"/>
    <x v="36"/>
    <x v="0"/>
    <x v="3"/>
    <x v="15"/>
    <n v="7"/>
    <n v="8500"/>
    <n v="53550"/>
    <n v="0.1"/>
    <n v="19345"/>
    <s v="Retail Store"/>
    <s v="Small Business"/>
  </r>
  <r>
    <s v="ORD-00885"/>
    <x v="40"/>
    <x v="3"/>
    <x v="2"/>
    <x v="13"/>
    <n v="8"/>
    <n v="250"/>
    <n v="2000"/>
    <n v="0"/>
    <n v="713.69"/>
    <s v="Retail Store"/>
    <s v="Consumer"/>
  </r>
  <r>
    <s v="ORD-00886"/>
    <x v="64"/>
    <x v="3"/>
    <x v="3"/>
    <x v="4"/>
    <n v="8"/>
    <n v="12000"/>
    <n v="96000"/>
    <n v="0"/>
    <n v="32517.14"/>
    <s v="Wholesale"/>
    <s v="Corporate"/>
  </r>
  <r>
    <s v="ORD-00887"/>
    <x v="47"/>
    <x v="3"/>
    <x v="2"/>
    <x v="13"/>
    <n v="2"/>
    <n v="250"/>
    <n v="400"/>
    <n v="0.2"/>
    <n v="56.19"/>
    <s v="Online"/>
    <s v="Small Business"/>
  </r>
  <r>
    <s v="ORD-00888"/>
    <x v="127"/>
    <x v="2"/>
    <x v="1"/>
    <x v="14"/>
    <n v="2"/>
    <n v="3200"/>
    <n v="5120"/>
    <n v="0.2"/>
    <n v="1111.46"/>
    <s v="Retail Store"/>
    <s v="Consumer"/>
  </r>
  <r>
    <s v="ORD-00889"/>
    <x v="155"/>
    <x v="0"/>
    <x v="0"/>
    <x v="2"/>
    <n v="10"/>
    <n v="3200"/>
    <n v="32000"/>
    <n v="0"/>
    <n v="12696.92"/>
    <s v="Wholesale"/>
    <s v="Consumer"/>
  </r>
  <r>
    <s v="ORD-00890"/>
    <x v="128"/>
    <x v="1"/>
    <x v="2"/>
    <x v="6"/>
    <n v="8"/>
    <n v="600"/>
    <n v="4800"/>
    <n v="0"/>
    <n v="1488.75"/>
    <s v="Online"/>
    <s v="Corporate"/>
  </r>
  <r>
    <s v="ORD-00891"/>
    <x v="104"/>
    <x v="2"/>
    <x v="2"/>
    <x v="8"/>
    <n v="8"/>
    <n v="180"/>
    <n v="1296"/>
    <n v="0.1"/>
    <n v="195.08"/>
    <s v="Online"/>
    <s v="Consumer"/>
  </r>
  <r>
    <s v="ORD-00892"/>
    <x v="32"/>
    <x v="0"/>
    <x v="3"/>
    <x v="11"/>
    <n v="5"/>
    <n v="7000"/>
    <n v="35000"/>
    <n v="0"/>
    <n v="11437.32"/>
    <s v="Wholesale"/>
    <s v="Consumer"/>
  </r>
  <r>
    <s v="ORD-00893"/>
    <x v="76"/>
    <x v="0"/>
    <x v="2"/>
    <x v="3"/>
    <n v="4"/>
    <n v="120"/>
    <n v="456"/>
    <n v="0.05"/>
    <n v="174.69"/>
    <s v="Online"/>
    <s v="Consumer"/>
  </r>
  <r>
    <s v="ORD-00894"/>
    <x v="226"/>
    <x v="4"/>
    <x v="0"/>
    <x v="0"/>
    <n v="8"/>
    <n v="1200"/>
    <n v="9600"/>
    <n v="0"/>
    <n v="2676.46"/>
    <s v="Wholesale"/>
    <s v="Small Business"/>
  </r>
  <r>
    <s v="ORD-00895"/>
    <x v="329"/>
    <x v="3"/>
    <x v="1"/>
    <x v="16"/>
    <n v="5"/>
    <n v="400"/>
    <n v="1800"/>
    <n v="0.1"/>
    <n v="273.5"/>
    <s v="Retail Store"/>
    <s v="Corporate"/>
  </r>
  <r>
    <s v="ORD-00896"/>
    <x v="227"/>
    <x v="0"/>
    <x v="2"/>
    <x v="13"/>
    <n v="2"/>
    <n v="250"/>
    <n v="450"/>
    <n v="0.1"/>
    <n v="-48.38"/>
    <s v="Retail Store"/>
    <s v="Small Business"/>
  </r>
  <r>
    <s v="ORD-00897"/>
    <x v="261"/>
    <x v="0"/>
    <x v="2"/>
    <x v="3"/>
    <n v="7"/>
    <n v="120"/>
    <n v="714"/>
    <n v="0.15"/>
    <n v="227.85"/>
    <s v="Wholesale"/>
    <s v="Consumer"/>
  </r>
  <r>
    <s v="ORD-00898"/>
    <x v="245"/>
    <x v="0"/>
    <x v="1"/>
    <x v="5"/>
    <n v="10"/>
    <n v="2800"/>
    <n v="28000"/>
    <n v="0"/>
    <n v="5666.81"/>
    <s v="Wholesale"/>
    <s v="Corporate"/>
  </r>
  <r>
    <s v="ORD-00899"/>
    <x v="272"/>
    <x v="0"/>
    <x v="1"/>
    <x v="5"/>
    <n v="7"/>
    <n v="2800"/>
    <n v="17640"/>
    <n v="0.1"/>
    <n v="3593.45"/>
    <s v="Wholesale"/>
    <s v="Corporate"/>
  </r>
  <r>
    <s v="ORD-00900"/>
    <x v="300"/>
    <x v="4"/>
    <x v="2"/>
    <x v="9"/>
    <n v="5"/>
    <n v="450"/>
    <n v="1800"/>
    <n v="0.2"/>
    <n v="551.70000000000005"/>
    <s v="Online"/>
    <s v="Small Business"/>
  </r>
  <r>
    <s v="ORD-00901"/>
    <x v="209"/>
    <x v="0"/>
    <x v="3"/>
    <x v="4"/>
    <n v="7"/>
    <n v="1800"/>
    <n v="11970"/>
    <n v="0.05"/>
    <n v="-600.15"/>
    <s v="Retail Store"/>
    <s v="Small Business"/>
  </r>
  <r>
    <s v="ORD-00902"/>
    <x v="327"/>
    <x v="4"/>
    <x v="0"/>
    <x v="10"/>
    <n v="5"/>
    <n v="2500"/>
    <n v="10625"/>
    <n v="0.15"/>
    <n v="1306.6300000000001"/>
    <s v="Online"/>
    <s v="Corporate"/>
  </r>
  <r>
    <s v="ORD-00903"/>
    <x v="216"/>
    <x v="2"/>
    <x v="0"/>
    <x v="7"/>
    <n v="1"/>
    <n v="65000"/>
    <n v="55250"/>
    <n v="0.15"/>
    <n v="2134.37"/>
    <s v="Retail Store"/>
    <s v="Corporate"/>
  </r>
  <r>
    <s v="ORD-00904"/>
    <x v="330"/>
    <x v="1"/>
    <x v="3"/>
    <x v="4"/>
    <n v="2"/>
    <n v="12000"/>
    <n v="24000"/>
    <n v="0"/>
    <n v="7297.44"/>
    <s v="Retail Store"/>
    <s v="Consumer"/>
  </r>
  <r>
    <s v="ORD-00905"/>
    <x v="59"/>
    <x v="2"/>
    <x v="3"/>
    <x v="11"/>
    <n v="2"/>
    <n v="7000"/>
    <n v="13300"/>
    <n v="0.05"/>
    <n v="3758.64"/>
    <s v="Online"/>
    <s v="Consumer"/>
  </r>
  <r>
    <s v="ORD-00906"/>
    <x v="294"/>
    <x v="3"/>
    <x v="1"/>
    <x v="16"/>
    <n v="6"/>
    <n v="400"/>
    <n v="1920"/>
    <n v="0.2"/>
    <n v="578.13"/>
    <s v="Wholesale"/>
    <s v="Consumer"/>
  </r>
  <r>
    <s v="ORD-00907"/>
    <x v="276"/>
    <x v="0"/>
    <x v="2"/>
    <x v="8"/>
    <n v="3"/>
    <n v="180"/>
    <n v="486"/>
    <n v="0.1"/>
    <n v="107.54"/>
    <s v="Online"/>
    <s v="Corporate"/>
  </r>
  <r>
    <s v="ORD-00908"/>
    <x v="209"/>
    <x v="4"/>
    <x v="2"/>
    <x v="8"/>
    <n v="8"/>
    <n v="180"/>
    <n v="1440"/>
    <n v="0"/>
    <n v="448.85"/>
    <s v="Wholesale"/>
    <s v="Small Business"/>
  </r>
  <r>
    <s v="ORD-00909"/>
    <x v="97"/>
    <x v="1"/>
    <x v="1"/>
    <x v="14"/>
    <n v="10"/>
    <n v="3200"/>
    <n v="27200"/>
    <n v="0.15"/>
    <n v="1971.41"/>
    <s v="Online"/>
    <s v="Small Business"/>
  </r>
  <r>
    <s v="ORD-00910"/>
    <x v="318"/>
    <x v="2"/>
    <x v="3"/>
    <x v="15"/>
    <n v="5"/>
    <n v="8500"/>
    <n v="34000"/>
    <n v="0.2"/>
    <n v="1758.93"/>
    <s v="Online"/>
    <s v="Consumer"/>
  </r>
  <r>
    <s v="ORD-00911"/>
    <x v="331"/>
    <x v="0"/>
    <x v="0"/>
    <x v="0"/>
    <n v="10"/>
    <n v="1200"/>
    <n v="12000"/>
    <n v="0"/>
    <n v="5127.78"/>
    <s v="Online"/>
    <s v="Corporate"/>
  </r>
  <r>
    <s v="ORD-00912"/>
    <x v="182"/>
    <x v="1"/>
    <x v="2"/>
    <x v="13"/>
    <n v="1"/>
    <n v="250"/>
    <n v="250"/>
    <n v="0"/>
    <n v="98.21"/>
    <s v="Online"/>
    <s v="Consumer"/>
  </r>
  <r>
    <s v="ORD-00913"/>
    <x v="315"/>
    <x v="1"/>
    <x v="0"/>
    <x v="2"/>
    <n v="3"/>
    <n v="3200"/>
    <n v="8160"/>
    <n v="0.15"/>
    <n v="2088.1999999999998"/>
    <s v="Online"/>
    <s v="Corporate"/>
  </r>
  <r>
    <s v="ORD-00914"/>
    <x v="182"/>
    <x v="2"/>
    <x v="1"/>
    <x v="14"/>
    <n v="3"/>
    <n v="3200"/>
    <n v="8640"/>
    <n v="0.1"/>
    <n v="3225.91"/>
    <s v="Online"/>
    <s v="Small Business"/>
  </r>
  <r>
    <s v="ORD-00915"/>
    <x v="53"/>
    <x v="4"/>
    <x v="1"/>
    <x v="5"/>
    <n v="10"/>
    <n v="2800"/>
    <n v="26600"/>
    <n v="0.05"/>
    <n v="-3487.21"/>
    <s v="Online"/>
    <s v="Corporate"/>
  </r>
  <r>
    <s v="ORD-00916"/>
    <x v="109"/>
    <x v="2"/>
    <x v="0"/>
    <x v="2"/>
    <n v="9"/>
    <n v="3200"/>
    <n v="24480"/>
    <n v="0.15"/>
    <n v="1795.49"/>
    <s v="Online"/>
    <s v="Small Business"/>
  </r>
  <r>
    <s v="ORD-00917"/>
    <x v="45"/>
    <x v="3"/>
    <x v="2"/>
    <x v="13"/>
    <n v="2"/>
    <n v="250"/>
    <n v="400"/>
    <n v="0.2"/>
    <n v="23.78"/>
    <s v="Wholesale"/>
    <s v="Small Business"/>
  </r>
  <r>
    <s v="ORD-00918"/>
    <x v="64"/>
    <x v="2"/>
    <x v="3"/>
    <x v="11"/>
    <n v="10"/>
    <n v="7000"/>
    <n v="66500"/>
    <n v="0.05"/>
    <n v="22705.83"/>
    <s v="Retail Store"/>
    <s v="Small Business"/>
  </r>
  <r>
    <s v="ORD-00919"/>
    <x v="212"/>
    <x v="2"/>
    <x v="0"/>
    <x v="12"/>
    <n v="1"/>
    <n v="700"/>
    <n v="595"/>
    <n v="0.15"/>
    <n v="161.05000000000001"/>
    <s v="Wholesale"/>
    <s v="Consumer"/>
  </r>
  <r>
    <s v="ORD-00920"/>
    <x v="61"/>
    <x v="1"/>
    <x v="0"/>
    <x v="2"/>
    <n v="9"/>
    <n v="3200"/>
    <n v="25920"/>
    <n v="0.1"/>
    <n v="5904.76"/>
    <s v="Online"/>
    <s v="Small Business"/>
  </r>
  <r>
    <s v="ORD-00921"/>
    <x v="267"/>
    <x v="0"/>
    <x v="2"/>
    <x v="3"/>
    <n v="3"/>
    <n v="120"/>
    <n v="288"/>
    <n v="0.2"/>
    <n v="73.569999999999993"/>
    <s v="Retail Store"/>
    <s v="Corporate"/>
  </r>
  <r>
    <s v="ORD-00922"/>
    <x v="189"/>
    <x v="3"/>
    <x v="2"/>
    <x v="8"/>
    <n v="10"/>
    <n v="180"/>
    <n v="1800"/>
    <n v="0"/>
    <n v="647.27"/>
    <s v="Wholesale"/>
    <s v="Small Business"/>
  </r>
  <r>
    <s v="ORD-00923"/>
    <x v="26"/>
    <x v="3"/>
    <x v="0"/>
    <x v="0"/>
    <n v="9"/>
    <n v="1200"/>
    <n v="9720"/>
    <n v="0.1"/>
    <n v="1725.06"/>
    <s v="Online"/>
    <s v="Consumer"/>
  </r>
  <r>
    <s v="ORD-00924"/>
    <x v="133"/>
    <x v="3"/>
    <x v="1"/>
    <x v="1"/>
    <n v="7"/>
    <n v="650"/>
    <n v="3867.5"/>
    <n v="0.15"/>
    <n v="375.12"/>
    <s v="Wholesale"/>
    <s v="Consumer"/>
  </r>
  <r>
    <s v="ORD-00925"/>
    <x v="81"/>
    <x v="4"/>
    <x v="1"/>
    <x v="14"/>
    <n v="1"/>
    <n v="3200"/>
    <n v="2880"/>
    <n v="0.1"/>
    <n v="642.27"/>
    <s v="Online"/>
    <s v="Small Business"/>
  </r>
  <r>
    <s v="ORD-00926"/>
    <x v="264"/>
    <x v="3"/>
    <x v="3"/>
    <x v="11"/>
    <n v="5"/>
    <n v="7000"/>
    <n v="33250"/>
    <n v="0.05"/>
    <n v="10791.3"/>
    <s v="Wholesale"/>
    <s v="Corporate"/>
  </r>
  <r>
    <s v="ORD-00927"/>
    <x v="307"/>
    <x v="2"/>
    <x v="0"/>
    <x v="12"/>
    <n v="1"/>
    <n v="700"/>
    <n v="700"/>
    <n v="0"/>
    <n v="233.28"/>
    <s v="Wholesale"/>
    <s v="Corporate"/>
  </r>
  <r>
    <s v="ORD-00928"/>
    <x v="332"/>
    <x v="0"/>
    <x v="3"/>
    <x v="15"/>
    <n v="1"/>
    <n v="8500"/>
    <n v="7650"/>
    <n v="0.1"/>
    <n v="2399.1"/>
    <s v="Online"/>
    <s v="Corporate"/>
  </r>
  <r>
    <s v="ORD-00929"/>
    <x v="217"/>
    <x v="4"/>
    <x v="1"/>
    <x v="14"/>
    <n v="5"/>
    <n v="3200"/>
    <n v="12800"/>
    <n v="0.2"/>
    <n v="1591.78"/>
    <s v="Wholesale"/>
    <s v="Consumer"/>
  </r>
  <r>
    <s v="ORD-00930"/>
    <x v="309"/>
    <x v="1"/>
    <x v="1"/>
    <x v="16"/>
    <n v="10"/>
    <n v="400"/>
    <n v="3600"/>
    <n v="0.1"/>
    <n v="1115.3800000000001"/>
    <s v="Wholesale"/>
    <s v="Consumer"/>
  </r>
  <r>
    <s v="ORD-00931"/>
    <x v="197"/>
    <x v="4"/>
    <x v="0"/>
    <x v="2"/>
    <n v="1"/>
    <n v="3200"/>
    <n v="2880"/>
    <n v="0.1"/>
    <n v="864.6"/>
    <s v="Retail Store"/>
    <s v="Consumer"/>
  </r>
  <r>
    <s v="ORD-00932"/>
    <x v="316"/>
    <x v="4"/>
    <x v="1"/>
    <x v="16"/>
    <n v="9"/>
    <n v="400"/>
    <n v="3600"/>
    <n v="0"/>
    <n v="724.68"/>
    <s v="Online"/>
    <s v="Small Business"/>
  </r>
  <r>
    <s v="ORD-00933"/>
    <x v="42"/>
    <x v="3"/>
    <x v="1"/>
    <x v="1"/>
    <n v="9"/>
    <n v="650"/>
    <n v="5265"/>
    <n v="0.1"/>
    <n v="1910.14"/>
    <s v="Retail Store"/>
    <s v="Corporate"/>
  </r>
  <r>
    <s v="ORD-00934"/>
    <x v="87"/>
    <x v="2"/>
    <x v="0"/>
    <x v="7"/>
    <n v="2"/>
    <n v="65000"/>
    <n v="117000"/>
    <n v="0.1"/>
    <n v="-12361.59"/>
    <s v="Online"/>
    <s v="Consumer"/>
  </r>
  <r>
    <s v="ORD-00935"/>
    <x v="243"/>
    <x v="4"/>
    <x v="0"/>
    <x v="0"/>
    <n v="7"/>
    <n v="1200"/>
    <n v="8400"/>
    <n v="0"/>
    <n v="3341.76"/>
    <s v="Online"/>
    <s v="Consumer"/>
  </r>
  <r>
    <s v="ORD-00936"/>
    <x v="100"/>
    <x v="1"/>
    <x v="0"/>
    <x v="7"/>
    <n v="9"/>
    <n v="65000"/>
    <n v="585000"/>
    <n v="0"/>
    <n v="111934.84"/>
    <s v="Wholesale"/>
    <s v="Consumer"/>
  </r>
  <r>
    <s v="ORD-00937"/>
    <x v="38"/>
    <x v="2"/>
    <x v="2"/>
    <x v="9"/>
    <n v="4"/>
    <n v="450"/>
    <n v="1710"/>
    <n v="0.05"/>
    <n v="415.65"/>
    <s v="Online"/>
    <s v="Small Business"/>
  </r>
  <r>
    <s v="ORD-00938"/>
    <x v="246"/>
    <x v="0"/>
    <x v="0"/>
    <x v="7"/>
    <n v="7"/>
    <n v="65000"/>
    <n v="432250"/>
    <n v="0.05"/>
    <n v="159067.28"/>
    <s v="Retail Store"/>
    <s v="Small Business"/>
  </r>
  <r>
    <s v="ORD-00939"/>
    <x v="137"/>
    <x v="3"/>
    <x v="0"/>
    <x v="17"/>
    <n v="8"/>
    <n v="14000"/>
    <n v="100800"/>
    <n v="0.1"/>
    <n v="27182.09"/>
    <s v="Retail Store"/>
    <s v="Consumer"/>
  </r>
  <r>
    <s v="ORD-00940"/>
    <x v="38"/>
    <x v="4"/>
    <x v="3"/>
    <x v="4"/>
    <n v="10"/>
    <n v="1800"/>
    <n v="15300"/>
    <n v="0.15"/>
    <n v="1882.62"/>
    <s v="Online"/>
    <s v="Corporate"/>
  </r>
  <r>
    <s v="ORD-00941"/>
    <x v="125"/>
    <x v="1"/>
    <x v="1"/>
    <x v="5"/>
    <n v="8"/>
    <n v="2800"/>
    <n v="20160"/>
    <n v="0.1"/>
    <n v="7437.83"/>
    <s v="Online"/>
    <s v="Small Business"/>
  </r>
  <r>
    <s v="ORD-00942"/>
    <x v="66"/>
    <x v="4"/>
    <x v="0"/>
    <x v="2"/>
    <n v="8"/>
    <n v="3200"/>
    <n v="25600"/>
    <n v="0"/>
    <n v="6680.23"/>
    <s v="Wholesale"/>
    <s v="Consumer"/>
  </r>
  <r>
    <s v="ORD-00943"/>
    <x v="333"/>
    <x v="0"/>
    <x v="2"/>
    <x v="9"/>
    <n v="5"/>
    <n v="450"/>
    <n v="2250"/>
    <n v="0"/>
    <n v="845.61"/>
    <s v="Online"/>
    <s v="Consumer"/>
  </r>
  <r>
    <s v="ORD-00944"/>
    <x v="281"/>
    <x v="3"/>
    <x v="1"/>
    <x v="16"/>
    <n v="2"/>
    <n v="400"/>
    <n v="760"/>
    <n v="0.05"/>
    <n v="319.8"/>
    <s v="Retail Store"/>
    <s v="Corporate"/>
  </r>
  <r>
    <s v="ORD-00946"/>
    <x v="324"/>
    <x v="3"/>
    <x v="0"/>
    <x v="0"/>
    <n v="3"/>
    <n v="1200"/>
    <n v="2880"/>
    <n v="0.2"/>
    <n v="622.91999999999996"/>
    <s v="Retail Store"/>
    <s v="Corporate"/>
  </r>
  <r>
    <s v="ORD-00947"/>
    <x v="214"/>
    <x v="0"/>
    <x v="3"/>
    <x v="15"/>
    <n v="6"/>
    <n v="8500"/>
    <n v="43350"/>
    <n v="0.15"/>
    <n v="15047.51"/>
    <s v="Retail Store"/>
    <s v="Corporate"/>
  </r>
  <r>
    <s v="ORD-00948"/>
    <x v="334"/>
    <x v="2"/>
    <x v="1"/>
    <x v="16"/>
    <n v="7"/>
    <n v="400"/>
    <n v="2240"/>
    <n v="0.2"/>
    <n v="44.48"/>
    <s v="Wholesale"/>
    <s v="Small Business"/>
  </r>
  <r>
    <s v="ORD-00949"/>
    <x v="335"/>
    <x v="4"/>
    <x v="3"/>
    <x v="11"/>
    <n v="2"/>
    <n v="7000"/>
    <n v="11200"/>
    <n v="0.2"/>
    <n v="1683.36"/>
    <s v="Wholesale"/>
    <s v="Consumer"/>
  </r>
  <r>
    <s v="ORD-00950"/>
    <x v="336"/>
    <x v="4"/>
    <x v="1"/>
    <x v="1"/>
    <n v="10"/>
    <n v="650"/>
    <n v="6500"/>
    <n v="0"/>
    <n v="0"/>
    <s v="Online"/>
    <s v="Consumer"/>
  </r>
  <r>
    <s v="ORD-00951"/>
    <x v="62"/>
    <x v="0"/>
    <x v="2"/>
    <x v="9"/>
    <n v="5"/>
    <n v="450"/>
    <n v="1912.5"/>
    <n v="0.15"/>
    <n v="362.02"/>
    <s v="Online"/>
    <s v="Consumer"/>
  </r>
  <r>
    <s v="ORD-00952"/>
    <x v="201"/>
    <x v="4"/>
    <x v="1"/>
    <x v="14"/>
    <n v="8"/>
    <n v="3200"/>
    <n v="20480"/>
    <n v="0.2"/>
    <n v="1837.24"/>
    <s v="Retail Store"/>
    <s v="Small Business"/>
  </r>
  <r>
    <s v="ORD-00953"/>
    <x v="318"/>
    <x v="2"/>
    <x v="3"/>
    <x v="4"/>
    <n v="1"/>
    <n v="12000"/>
    <n v="10800"/>
    <n v="0.1"/>
    <n v="3217.17"/>
    <s v="Online"/>
    <s v="Small Business"/>
  </r>
  <r>
    <s v="ORD-00954"/>
    <x v="94"/>
    <x v="0"/>
    <x v="0"/>
    <x v="17"/>
    <n v="2"/>
    <n v="14000"/>
    <n v="23800"/>
    <n v="0.15"/>
    <n v="957.26"/>
    <s v="Retail Store"/>
    <s v="Small Business"/>
  </r>
  <r>
    <s v="ORD-00955"/>
    <x v="78"/>
    <x v="3"/>
    <x v="0"/>
    <x v="12"/>
    <n v="10"/>
    <n v="700"/>
    <n v="5600"/>
    <n v="0.2"/>
    <n v="1272.79"/>
    <s v="Retail Store"/>
    <s v="Corporate"/>
  </r>
  <r>
    <s v="ORD-00956"/>
    <x v="144"/>
    <x v="2"/>
    <x v="3"/>
    <x v="4"/>
    <n v="2"/>
    <n v="1800"/>
    <n v="3600"/>
    <n v="0"/>
    <n v="1231.8800000000001"/>
    <s v="Online"/>
    <s v="Consumer"/>
  </r>
  <r>
    <s v="ORD-00957"/>
    <x v="100"/>
    <x v="0"/>
    <x v="3"/>
    <x v="11"/>
    <n v="6"/>
    <n v="7000"/>
    <n v="42000"/>
    <n v="0"/>
    <n v="0"/>
    <s v="Wholesale"/>
    <s v="Consumer"/>
  </r>
  <r>
    <s v="ORD-00958"/>
    <x v="171"/>
    <x v="3"/>
    <x v="1"/>
    <x v="5"/>
    <n v="2"/>
    <n v="2800"/>
    <n v="5040"/>
    <n v="0.1"/>
    <n v="1193.3900000000001"/>
    <s v="Wholesale"/>
    <s v="Corporate"/>
  </r>
  <r>
    <s v="ORD-00959"/>
    <x v="229"/>
    <x v="1"/>
    <x v="0"/>
    <x v="2"/>
    <n v="2"/>
    <n v="3200"/>
    <n v="5760"/>
    <n v="0.1"/>
    <n v="1984.33"/>
    <s v="Online"/>
    <s v="Small Business"/>
  </r>
  <r>
    <s v="ORD-00960"/>
    <x v="322"/>
    <x v="2"/>
    <x v="3"/>
    <x v="4"/>
    <n v="7"/>
    <n v="1800"/>
    <n v="10710"/>
    <n v="0.15"/>
    <n v="3023.39"/>
    <s v="Wholesale"/>
    <s v="Small Business"/>
  </r>
  <r>
    <s v="ORD-00961"/>
    <x v="337"/>
    <x v="1"/>
    <x v="2"/>
    <x v="8"/>
    <n v="2"/>
    <n v="180"/>
    <n v="306"/>
    <n v="0.15"/>
    <n v="15.36"/>
    <s v="Online"/>
    <s v="Consumer"/>
  </r>
  <r>
    <s v="ORD-00962"/>
    <x v="246"/>
    <x v="3"/>
    <x v="1"/>
    <x v="1"/>
    <n v="8"/>
    <n v="650"/>
    <n v="4680"/>
    <n v="0.1"/>
    <n v="1548.09"/>
    <s v="Online"/>
    <s v="Small Business"/>
  </r>
  <r>
    <s v="ORD-00963"/>
    <x v="338"/>
    <x v="4"/>
    <x v="1"/>
    <x v="14"/>
    <n v="6"/>
    <n v="3200"/>
    <n v="16320"/>
    <n v="0.15"/>
    <n v="1546.67"/>
    <s v="Wholesale"/>
    <s v="Consumer"/>
  </r>
  <r>
    <s v="ORD-00964"/>
    <x v="221"/>
    <x v="1"/>
    <x v="3"/>
    <x v="11"/>
    <n v="5"/>
    <n v="7000"/>
    <n v="35000"/>
    <n v="0"/>
    <n v="14544.68"/>
    <s v="Wholesale"/>
    <s v="Consumer"/>
  </r>
  <r>
    <s v="ORD-00965"/>
    <x v="258"/>
    <x v="3"/>
    <x v="2"/>
    <x v="13"/>
    <n v="8"/>
    <n v="250"/>
    <n v="1800"/>
    <n v="0.1"/>
    <n v="602.21"/>
    <s v="Online"/>
    <s v="Small Business"/>
  </r>
  <r>
    <s v="ORD-00966"/>
    <x v="262"/>
    <x v="1"/>
    <x v="2"/>
    <x v="6"/>
    <n v="9"/>
    <n v="600"/>
    <n v="5400"/>
    <n v="0"/>
    <n v="1379"/>
    <s v="Retail Store"/>
    <s v="Corporate"/>
  </r>
  <r>
    <s v="ORD-00967"/>
    <x v="9"/>
    <x v="4"/>
    <x v="2"/>
    <x v="3"/>
    <n v="3"/>
    <n v="120"/>
    <n v="360"/>
    <n v="0"/>
    <n v="154.07"/>
    <s v="Online"/>
    <s v="Corporate"/>
  </r>
  <r>
    <s v="ORD-00968"/>
    <x v="145"/>
    <x v="2"/>
    <x v="2"/>
    <x v="13"/>
    <n v="6"/>
    <n v="250"/>
    <n v="1200"/>
    <n v="0.2"/>
    <n v="112.91"/>
    <s v="Retail Store"/>
    <s v="Corporate"/>
  </r>
  <r>
    <s v="ORD-00969"/>
    <x v="275"/>
    <x v="2"/>
    <x v="3"/>
    <x v="4"/>
    <n v="10"/>
    <n v="12000"/>
    <n v="108000"/>
    <n v="0.1"/>
    <n v="-16136.11"/>
    <s v="Online"/>
    <s v="Small Business"/>
  </r>
  <r>
    <s v="ORD-00970"/>
    <x v="322"/>
    <x v="4"/>
    <x v="0"/>
    <x v="7"/>
    <n v="4"/>
    <n v="65000"/>
    <n v="247000"/>
    <n v="0.05"/>
    <n v="45239.08"/>
    <s v="Wholesale"/>
    <s v="Small Business"/>
  </r>
  <r>
    <s v="ORD-00971"/>
    <x v="322"/>
    <x v="3"/>
    <x v="0"/>
    <x v="0"/>
    <n v="4"/>
    <n v="1200"/>
    <n v="4320"/>
    <n v="0.1"/>
    <n v="448.4"/>
    <s v="Retail Store"/>
    <s v="Consumer"/>
  </r>
  <r>
    <s v="ORD-00972"/>
    <x v="16"/>
    <x v="0"/>
    <x v="2"/>
    <x v="13"/>
    <n v="9"/>
    <n v="250"/>
    <n v="2250"/>
    <n v="0"/>
    <n v="917.17"/>
    <s v="Online"/>
    <s v="Corporate"/>
  </r>
  <r>
    <s v="ORD-00973"/>
    <x v="247"/>
    <x v="1"/>
    <x v="1"/>
    <x v="16"/>
    <n v="1"/>
    <n v="400"/>
    <n v="400"/>
    <n v="0"/>
    <n v="107.34"/>
    <s v="Online"/>
    <s v="Consumer"/>
  </r>
  <r>
    <s v="ORD-00974"/>
    <x v="1"/>
    <x v="2"/>
    <x v="1"/>
    <x v="1"/>
    <n v="1"/>
    <n v="650"/>
    <n v="585"/>
    <n v="0.1"/>
    <n v="-68.73"/>
    <s v="Retail Store"/>
    <s v="Consumer"/>
  </r>
  <r>
    <s v="ORD-00975"/>
    <x v="145"/>
    <x v="2"/>
    <x v="2"/>
    <x v="8"/>
    <n v="3"/>
    <n v="180"/>
    <n v="486"/>
    <n v="0.1"/>
    <n v="71.650000000000006"/>
    <s v="Wholesale"/>
    <s v="Small Business"/>
  </r>
  <r>
    <s v="ORD-00976"/>
    <x v="182"/>
    <x v="2"/>
    <x v="3"/>
    <x v="4"/>
    <n v="1"/>
    <n v="12000"/>
    <n v="9600"/>
    <n v="0.2"/>
    <n v="723.56"/>
    <s v="Retail Store"/>
    <s v="Corporate"/>
  </r>
  <r>
    <s v="ORD-00977"/>
    <x v="339"/>
    <x v="3"/>
    <x v="3"/>
    <x v="11"/>
    <n v="1"/>
    <n v="7000"/>
    <n v="5950"/>
    <n v="0.15"/>
    <n v="449.28"/>
    <s v="Wholesale"/>
    <s v="Small Business"/>
  </r>
  <r>
    <s v="ORD-00978"/>
    <x v="317"/>
    <x v="0"/>
    <x v="1"/>
    <x v="1"/>
    <n v="4"/>
    <n v="650"/>
    <n v="2210"/>
    <n v="0.15"/>
    <n v="507.45"/>
    <s v="Wholesale"/>
    <s v="Consumer"/>
  </r>
  <r>
    <s v="ORD-00979"/>
    <x v="311"/>
    <x v="3"/>
    <x v="0"/>
    <x v="0"/>
    <n v="4"/>
    <n v="1200"/>
    <n v="4080"/>
    <n v="0.15"/>
    <n v="1245.27"/>
    <s v="Wholesale"/>
    <s v="Small Business"/>
  </r>
  <r>
    <s v="ORD-00980"/>
    <x v="22"/>
    <x v="1"/>
    <x v="2"/>
    <x v="13"/>
    <n v="5"/>
    <n v="250"/>
    <n v="1125"/>
    <n v="0.1"/>
    <n v="375.43"/>
    <s v="Online"/>
    <s v="Consumer"/>
  </r>
  <r>
    <s v="ORD-00981"/>
    <x v="161"/>
    <x v="3"/>
    <x v="2"/>
    <x v="13"/>
    <n v="1"/>
    <n v="250"/>
    <n v="250"/>
    <n v="0"/>
    <n v="61.75"/>
    <s v="Online"/>
    <s v="Consumer"/>
  </r>
  <r>
    <s v="ORD-00982"/>
    <x v="340"/>
    <x v="3"/>
    <x v="0"/>
    <x v="2"/>
    <n v="7"/>
    <n v="3200"/>
    <n v="19040"/>
    <n v="0.15"/>
    <n v="2447.02"/>
    <s v="Wholesale"/>
    <s v="Corporate"/>
  </r>
  <r>
    <s v="ORD-00983"/>
    <x v="139"/>
    <x v="4"/>
    <x v="0"/>
    <x v="2"/>
    <n v="1"/>
    <n v="3200"/>
    <n v="3040"/>
    <n v="0.05"/>
    <n v="980.21"/>
    <s v="Wholesale"/>
    <s v="Consumer"/>
  </r>
  <r>
    <s v="ORD-00984"/>
    <x v="228"/>
    <x v="1"/>
    <x v="2"/>
    <x v="3"/>
    <n v="5"/>
    <n v="120"/>
    <n v="600"/>
    <n v="0"/>
    <n v="252.42"/>
    <s v="Retail Store"/>
    <s v="Consumer"/>
  </r>
  <r>
    <s v="ORD-00985"/>
    <x v="78"/>
    <x v="3"/>
    <x v="2"/>
    <x v="9"/>
    <n v="8"/>
    <n v="450"/>
    <n v="2880"/>
    <n v="0.2"/>
    <n v="663.89"/>
    <s v="Online"/>
    <s v="Small Business"/>
  </r>
  <r>
    <s v="ORD-00986"/>
    <x v="153"/>
    <x v="1"/>
    <x v="3"/>
    <x v="4"/>
    <n v="10"/>
    <n v="1800"/>
    <n v="15300"/>
    <n v="0.15"/>
    <n v="3409.39"/>
    <s v="Wholesale"/>
    <s v="Consumer"/>
  </r>
  <r>
    <s v="ORD-00987"/>
    <x v="234"/>
    <x v="3"/>
    <x v="0"/>
    <x v="7"/>
    <n v="2"/>
    <n v="65000"/>
    <n v="123500"/>
    <n v="0.05"/>
    <n v="41401.279999999999"/>
    <s v="Retail Store"/>
    <s v="Corporate"/>
  </r>
  <r>
    <s v="ORD-00988"/>
    <x v="162"/>
    <x v="0"/>
    <x v="3"/>
    <x v="11"/>
    <n v="2"/>
    <n v="7000"/>
    <n v="13300"/>
    <n v="0.05"/>
    <n v="5430.33"/>
    <s v="Retail Store"/>
    <s v="Small Business"/>
  </r>
  <r>
    <s v="ORD-00989"/>
    <x v="184"/>
    <x v="3"/>
    <x v="3"/>
    <x v="4"/>
    <n v="1"/>
    <n v="1800"/>
    <n v="1620"/>
    <n v="0.1"/>
    <n v="479.27"/>
    <s v="Wholesale"/>
    <s v="Consumer"/>
  </r>
  <r>
    <s v="ORD-00990"/>
    <x v="332"/>
    <x v="0"/>
    <x v="3"/>
    <x v="11"/>
    <n v="7"/>
    <n v="7000"/>
    <n v="49000"/>
    <n v="0"/>
    <n v="13051.96"/>
    <s v="Retail Store"/>
    <s v="Consumer"/>
  </r>
  <r>
    <s v="ORD-00991"/>
    <x v="133"/>
    <x v="2"/>
    <x v="0"/>
    <x v="0"/>
    <n v="1"/>
    <n v="1200"/>
    <n v="1200"/>
    <n v="0"/>
    <n v="351.87"/>
    <s v="Wholesale"/>
    <s v="Consumer"/>
  </r>
  <r>
    <s v="ORD-00992"/>
    <x v="72"/>
    <x v="2"/>
    <x v="2"/>
    <x v="3"/>
    <n v="6"/>
    <n v="120"/>
    <n v="612"/>
    <n v="0.15"/>
    <n v="87.75"/>
    <s v="Retail Store"/>
    <s v="Consumer"/>
  </r>
  <r>
    <s v="ORD-00993"/>
    <x v="29"/>
    <x v="4"/>
    <x v="3"/>
    <x v="15"/>
    <n v="7"/>
    <n v="8500"/>
    <n v="59500"/>
    <n v="0"/>
    <n v="16846.98"/>
    <s v="Retail Store"/>
    <s v="Corporate"/>
  </r>
  <r>
    <s v="ORD-00994"/>
    <x v="221"/>
    <x v="2"/>
    <x v="1"/>
    <x v="14"/>
    <n v="2"/>
    <n v="3200"/>
    <n v="6400"/>
    <n v="0"/>
    <n v="-887.42"/>
    <s v="Wholesale"/>
    <s v="Consumer"/>
  </r>
  <r>
    <s v="ORD-00995"/>
    <x v="296"/>
    <x v="2"/>
    <x v="2"/>
    <x v="9"/>
    <n v="3"/>
    <n v="450"/>
    <n v="1350"/>
    <n v="0"/>
    <n v="-101.16"/>
    <s v="Online"/>
    <s v="Consumer"/>
  </r>
  <r>
    <s v="ORD-00996"/>
    <x v="265"/>
    <x v="4"/>
    <x v="2"/>
    <x v="8"/>
    <n v="5"/>
    <n v="180"/>
    <n v="900"/>
    <n v="0"/>
    <n v="369.17"/>
    <s v="Online"/>
    <s v="Small Business"/>
  </r>
  <r>
    <s v="ORD-00997"/>
    <x v="78"/>
    <x v="3"/>
    <x v="3"/>
    <x v="4"/>
    <n v="9"/>
    <n v="12000"/>
    <n v="102600"/>
    <n v="0.05"/>
    <n v="27470.19"/>
    <s v="Retail Store"/>
    <s v="Small Business"/>
  </r>
  <r>
    <s v="ORD-00998"/>
    <x v="337"/>
    <x v="0"/>
    <x v="1"/>
    <x v="1"/>
    <n v="1"/>
    <n v="650"/>
    <n v="617.5"/>
    <n v="0.05"/>
    <n v="-60.2"/>
    <s v="Wholesale"/>
    <s v="Consumer"/>
  </r>
  <r>
    <s v="ORD-00999"/>
    <x v="76"/>
    <x v="4"/>
    <x v="3"/>
    <x v="4"/>
    <n v="6"/>
    <n v="1800"/>
    <n v="9720"/>
    <n v="0.1"/>
    <n v="1474.96"/>
    <s v="Retail Store"/>
    <s v="Consumer"/>
  </r>
  <r>
    <s v="ORD-01000"/>
    <x v="3"/>
    <x v="3"/>
    <x v="3"/>
    <x v="15"/>
    <n v="4"/>
    <n v="8500"/>
    <n v="28900"/>
    <n v="0.15"/>
    <n v="6066.65"/>
    <s v="Wholesale"/>
    <s v="Small Busin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97FAC1-4F05-4BE5-ACD2-2A9D5D6C44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4">
    <pivotField showAll="0"/>
    <pivotField axis="axisRow" numFmtId="14" showAll="0">
      <items count="342">
        <item x="92"/>
        <item x="102"/>
        <item x="39"/>
        <item x="206"/>
        <item x="241"/>
        <item x="56"/>
        <item x="166"/>
        <item x="89"/>
        <item x="55"/>
        <item x="96"/>
        <item x="178"/>
        <item x="114"/>
        <item x="77"/>
        <item x="277"/>
        <item x="125"/>
        <item x="215"/>
        <item x="81"/>
        <item x="275"/>
        <item x="174"/>
        <item x="159"/>
        <item x="133"/>
        <item x="283"/>
        <item x="19"/>
        <item x="194"/>
        <item x="297"/>
        <item x="84"/>
        <item x="150"/>
        <item x="293"/>
        <item x="273"/>
        <item x="192"/>
        <item x="147"/>
        <item x="257"/>
        <item x="60"/>
        <item x="333"/>
        <item x="158"/>
        <item x="258"/>
        <item x="254"/>
        <item x="234"/>
        <item x="316"/>
        <item x="13"/>
        <item x="57"/>
        <item x="226"/>
        <item x="69"/>
        <item x="68"/>
        <item x="23"/>
        <item x="12"/>
        <item x="103"/>
        <item x="235"/>
        <item x="123"/>
        <item x="296"/>
        <item x="312"/>
        <item x="136"/>
        <item x="1"/>
        <item x="31"/>
        <item x="155"/>
        <item x="44"/>
        <item x="142"/>
        <item x="120"/>
        <item x="30"/>
        <item x="304"/>
        <item x="299"/>
        <item x="171"/>
        <item x="91"/>
        <item x="131"/>
        <item x="144"/>
        <item x="285"/>
        <item x="176"/>
        <item x="261"/>
        <item x="236"/>
        <item x="65"/>
        <item x="318"/>
        <item x="34"/>
        <item x="139"/>
        <item x="320"/>
        <item x="334"/>
        <item x="224"/>
        <item x="329"/>
        <item x="339"/>
        <item x="216"/>
        <item x="308"/>
        <item x="264"/>
        <item x="209"/>
        <item x="265"/>
        <item x="53"/>
        <item x="62"/>
        <item x="332"/>
        <item x="66"/>
        <item x="211"/>
        <item x="237"/>
        <item x="307"/>
        <item x="67"/>
        <item x="80"/>
        <item x="86"/>
        <item x="300"/>
        <item x="152"/>
        <item x="230"/>
        <item x="259"/>
        <item x="90"/>
        <item x="279"/>
        <item x="246"/>
        <item x="190"/>
        <item x="317"/>
        <item x="50"/>
        <item x="326"/>
        <item x="169"/>
        <item x="85"/>
        <item x="118"/>
        <item x="193"/>
        <item x="0"/>
        <item x="122"/>
        <item x="248"/>
        <item x="311"/>
        <item x="319"/>
        <item x="294"/>
        <item x="322"/>
        <item x="100"/>
        <item x="163"/>
        <item x="335"/>
        <item x="29"/>
        <item x="183"/>
        <item x="105"/>
        <item x="27"/>
        <item x="295"/>
        <item x="186"/>
        <item x="196"/>
        <item x="25"/>
        <item x="251"/>
        <item x="338"/>
        <item x="151"/>
        <item x="73"/>
        <item x="292"/>
        <item x="181"/>
        <item x="188"/>
        <item x="175"/>
        <item x="269"/>
        <item x="22"/>
        <item x="108"/>
        <item x="42"/>
        <item x="52"/>
        <item x="272"/>
        <item x="337"/>
        <item x="324"/>
        <item x="278"/>
        <item x="256"/>
        <item x="40"/>
        <item x="250"/>
        <item x="49"/>
        <item x="36"/>
        <item x="149"/>
        <item x="172"/>
        <item x="229"/>
        <item x="64"/>
        <item x="173"/>
        <item x="331"/>
        <item x="41"/>
        <item x="99"/>
        <item x="18"/>
        <item x="185"/>
        <item x="231"/>
        <item x="281"/>
        <item x="208"/>
        <item x="327"/>
        <item x="2"/>
        <item x="110"/>
        <item x="164"/>
        <item x="129"/>
        <item x="47"/>
        <item x="197"/>
        <item x="160"/>
        <item x="191"/>
        <item x="305"/>
        <item x="153"/>
        <item x="262"/>
        <item x="70"/>
        <item x="243"/>
        <item x="274"/>
        <item x="303"/>
        <item x="314"/>
        <item x="46"/>
        <item x="21"/>
        <item x="117"/>
        <item x="157"/>
        <item x="16"/>
        <item x="310"/>
        <item x="101"/>
        <item x="170"/>
        <item x="284"/>
        <item x="37"/>
        <item x="162"/>
        <item x="28"/>
        <item x="260"/>
        <item x="143"/>
        <item x="165"/>
        <item x="198"/>
        <item x="263"/>
        <item x="228"/>
        <item x="207"/>
        <item x="177"/>
        <item x="222"/>
        <item x="218"/>
        <item x="161"/>
        <item x="63"/>
        <item x="302"/>
        <item x="8"/>
        <item x="10"/>
        <item x="146"/>
        <item x="168"/>
        <item x="71"/>
        <item x="187"/>
        <item x="51"/>
        <item x="97"/>
        <item x="203"/>
        <item x="17"/>
        <item x="76"/>
        <item x="270"/>
        <item x="330"/>
        <item x="3"/>
        <item x="130"/>
        <item x="271"/>
        <item x="266"/>
        <item x="59"/>
        <item x="79"/>
        <item x="325"/>
        <item x="219"/>
        <item x="121"/>
        <item x="54"/>
        <item x="95"/>
        <item x="5"/>
        <item x="201"/>
        <item x="140"/>
        <item x="301"/>
        <item x="217"/>
        <item x="182"/>
        <item x="104"/>
        <item x="167"/>
        <item x="267"/>
        <item x="306"/>
        <item x="212"/>
        <item x="255"/>
        <item x="240"/>
        <item x="137"/>
        <item x="58"/>
        <item x="11"/>
        <item x="20"/>
        <item x="135"/>
        <item x="290"/>
        <item x="9"/>
        <item x="116"/>
        <item x="75"/>
        <item x="282"/>
        <item x="239"/>
        <item x="156"/>
        <item x="242"/>
        <item x="115"/>
        <item x="298"/>
        <item x="88"/>
        <item x="145"/>
        <item x="141"/>
        <item x="7"/>
        <item x="38"/>
        <item x="189"/>
        <item x="221"/>
        <item x="83"/>
        <item x="127"/>
        <item x="199"/>
        <item x="268"/>
        <item x="238"/>
        <item x="220"/>
        <item x="313"/>
        <item x="154"/>
        <item x="309"/>
        <item x="289"/>
        <item x="132"/>
        <item x="210"/>
        <item x="252"/>
        <item x="148"/>
        <item x="82"/>
        <item x="276"/>
        <item x="4"/>
        <item x="15"/>
        <item x="328"/>
        <item x="138"/>
        <item x="244"/>
        <item x="94"/>
        <item x="61"/>
        <item x="45"/>
        <item x="249"/>
        <item x="78"/>
        <item x="107"/>
        <item x="43"/>
        <item x="74"/>
        <item x="214"/>
        <item x="245"/>
        <item x="180"/>
        <item x="195"/>
        <item x="112"/>
        <item x="336"/>
        <item x="6"/>
        <item x="223"/>
        <item x="35"/>
        <item x="232"/>
        <item x="26"/>
        <item x="227"/>
        <item x="106"/>
        <item x="14"/>
        <item x="109"/>
        <item x="253"/>
        <item x="286"/>
        <item x="128"/>
        <item x="87"/>
        <item x="184"/>
        <item x="315"/>
        <item x="280"/>
        <item x="32"/>
        <item x="179"/>
        <item x="323"/>
        <item x="48"/>
        <item x="33"/>
        <item x="204"/>
        <item x="247"/>
        <item x="205"/>
        <item x="24"/>
        <item x="134"/>
        <item x="291"/>
        <item x="287"/>
        <item x="72"/>
        <item x="225"/>
        <item x="93"/>
        <item x="126"/>
        <item x="200"/>
        <item x="340"/>
        <item x="119"/>
        <item x="113"/>
        <item x="321"/>
        <item x="98"/>
        <item x="233"/>
        <item x="124"/>
        <item x="213"/>
        <item x="288"/>
        <item x="111"/>
        <item x="202"/>
        <item t="default"/>
      </items>
    </pivotField>
    <pivotField showAll="0">
      <items count="7">
        <item x="0"/>
        <item x="1"/>
        <item x="4"/>
        <item x="2"/>
        <item x="5"/>
        <item x="3"/>
        <item t="default"/>
      </items>
    </pivotField>
    <pivotField showAll="0">
      <items count="6">
        <item x="3"/>
        <item x="1"/>
        <item x="2"/>
        <item x="0"/>
        <item x="4"/>
        <item t="default"/>
      </items>
    </pivotField>
    <pivotField showAll="0"/>
    <pivotField showAll="0"/>
    <pivotField showAll="0"/>
    <pivotField dataField="1"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3">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E1F64-DCE9-4B76-A55A-437AAFA9DA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4">
    <pivotField showAll="0"/>
    <pivotField numFmtId="14" showAll="0">
      <items count="342">
        <item x="92"/>
        <item x="102"/>
        <item x="39"/>
        <item x="206"/>
        <item x="241"/>
        <item x="56"/>
        <item x="166"/>
        <item x="89"/>
        <item x="55"/>
        <item x="96"/>
        <item x="178"/>
        <item x="114"/>
        <item x="77"/>
        <item x="277"/>
        <item x="125"/>
        <item x="215"/>
        <item x="81"/>
        <item x="275"/>
        <item x="174"/>
        <item x="159"/>
        <item x="133"/>
        <item x="283"/>
        <item x="19"/>
        <item x="194"/>
        <item x="297"/>
        <item x="84"/>
        <item x="150"/>
        <item x="293"/>
        <item x="273"/>
        <item x="192"/>
        <item x="147"/>
        <item x="257"/>
        <item x="60"/>
        <item x="333"/>
        <item x="158"/>
        <item x="258"/>
        <item x="254"/>
        <item x="234"/>
        <item x="316"/>
        <item x="13"/>
        <item x="57"/>
        <item x="226"/>
        <item x="69"/>
        <item x="68"/>
        <item x="23"/>
        <item x="12"/>
        <item x="103"/>
        <item x="235"/>
        <item x="123"/>
        <item x="296"/>
        <item x="312"/>
        <item x="136"/>
        <item x="1"/>
        <item x="31"/>
        <item x="155"/>
        <item x="44"/>
        <item x="142"/>
        <item x="120"/>
        <item x="30"/>
        <item x="304"/>
        <item x="299"/>
        <item x="171"/>
        <item x="91"/>
        <item x="131"/>
        <item x="144"/>
        <item x="285"/>
        <item x="176"/>
        <item x="261"/>
        <item x="236"/>
        <item x="65"/>
        <item x="318"/>
        <item x="34"/>
        <item x="139"/>
        <item x="320"/>
        <item x="334"/>
        <item x="224"/>
        <item x="329"/>
        <item x="339"/>
        <item x="216"/>
        <item x="308"/>
        <item x="264"/>
        <item x="209"/>
        <item x="265"/>
        <item x="53"/>
        <item x="62"/>
        <item x="332"/>
        <item x="66"/>
        <item x="211"/>
        <item x="237"/>
        <item x="307"/>
        <item x="67"/>
        <item x="80"/>
        <item x="86"/>
        <item x="300"/>
        <item x="152"/>
        <item x="230"/>
        <item x="259"/>
        <item x="90"/>
        <item x="279"/>
        <item x="246"/>
        <item x="190"/>
        <item x="317"/>
        <item x="50"/>
        <item x="326"/>
        <item x="169"/>
        <item x="85"/>
        <item x="118"/>
        <item x="193"/>
        <item x="0"/>
        <item x="122"/>
        <item x="248"/>
        <item x="311"/>
        <item x="319"/>
        <item x="294"/>
        <item x="322"/>
        <item x="100"/>
        <item x="163"/>
        <item x="335"/>
        <item x="29"/>
        <item x="183"/>
        <item x="105"/>
        <item x="27"/>
        <item x="295"/>
        <item x="186"/>
        <item x="196"/>
        <item x="25"/>
        <item x="251"/>
        <item x="338"/>
        <item x="151"/>
        <item x="73"/>
        <item x="292"/>
        <item x="181"/>
        <item x="188"/>
        <item x="175"/>
        <item x="269"/>
        <item x="22"/>
        <item x="108"/>
        <item x="42"/>
        <item x="52"/>
        <item x="272"/>
        <item x="337"/>
        <item x="324"/>
        <item x="278"/>
        <item x="256"/>
        <item x="40"/>
        <item x="250"/>
        <item x="49"/>
        <item x="36"/>
        <item x="149"/>
        <item x="172"/>
        <item x="229"/>
        <item x="64"/>
        <item x="173"/>
        <item x="331"/>
        <item x="41"/>
        <item x="99"/>
        <item x="18"/>
        <item x="185"/>
        <item x="231"/>
        <item x="281"/>
        <item x="208"/>
        <item x="327"/>
        <item x="2"/>
        <item x="110"/>
        <item x="164"/>
        <item x="129"/>
        <item x="47"/>
        <item x="197"/>
        <item x="160"/>
        <item x="191"/>
        <item x="305"/>
        <item x="153"/>
        <item x="262"/>
        <item x="70"/>
        <item x="243"/>
        <item x="274"/>
        <item x="303"/>
        <item x="314"/>
        <item x="46"/>
        <item x="21"/>
        <item x="117"/>
        <item x="157"/>
        <item x="16"/>
        <item x="310"/>
        <item x="101"/>
        <item x="170"/>
        <item x="284"/>
        <item x="37"/>
        <item x="162"/>
        <item x="28"/>
        <item x="260"/>
        <item x="143"/>
        <item x="165"/>
        <item x="198"/>
        <item x="263"/>
        <item x="228"/>
        <item x="207"/>
        <item x="177"/>
        <item x="222"/>
        <item x="218"/>
        <item x="161"/>
        <item x="63"/>
        <item x="302"/>
        <item x="8"/>
        <item x="10"/>
        <item x="146"/>
        <item x="168"/>
        <item x="71"/>
        <item x="187"/>
        <item x="51"/>
        <item x="97"/>
        <item x="203"/>
        <item x="17"/>
        <item x="76"/>
        <item x="270"/>
        <item x="330"/>
        <item x="3"/>
        <item x="130"/>
        <item x="271"/>
        <item x="266"/>
        <item x="59"/>
        <item x="79"/>
        <item x="325"/>
        <item x="219"/>
        <item x="121"/>
        <item x="54"/>
        <item x="95"/>
        <item x="5"/>
        <item x="201"/>
        <item x="140"/>
        <item x="301"/>
        <item x="217"/>
        <item x="182"/>
        <item x="104"/>
        <item x="167"/>
        <item x="267"/>
        <item x="306"/>
        <item x="212"/>
        <item x="255"/>
        <item x="240"/>
        <item x="137"/>
        <item x="58"/>
        <item x="11"/>
        <item x="20"/>
        <item x="135"/>
        <item x="290"/>
        <item x="9"/>
        <item x="116"/>
        <item x="75"/>
        <item x="282"/>
        <item x="239"/>
        <item x="156"/>
        <item x="242"/>
        <item x="115"/>
        <item x="298"/>
        <item x="88"/>
        <item x="145"/>
        <item x="141"/>
        <item x="7"/>
        <item x="38"/>
        <item x="189"/>
        <item x="221"/>
        <item x="83"/>
        <item x="127"/>
        <item x="199"/>
        <item x="268"/>
        <item x="238"/>
        <item x="220"/>
        <item x="313"/>
        <item x="154"/>
        <item x="309"/>
        <item x="289"/>
        <item x="132"/>
        <item x="210"/>
        <item x="252"/>
        <item x="148"/>
        <item x="82"/>
        <item x="276"/>
        <item x="4"/>
        <item x="15"/>
        <item x="328"/>
        <item x="138"/>
        <item x="244"/>
        <item x="94"/>
        <item x="61"/>
        <item x="45"/>
        <item x="249"/>
        <item x="78"/>
        <item x="107"/>
        <item x="43"/>
        <item x="74"/>
        <item x="214"/>
        <item x="245"/>
        <item x="180"/>
        <item x="195"/>
        <item x="112"/>
        <item x="336"/>
        <item x="6"/>
        <item x="223"/>
        <item x="35"/>
        <item x="232"/>
        <item x="26"/>
        <item x="227"/>
        <item x="106"/>
        <item x="14"/>
        <item x="109"/>
        <item x="253"/>
        <item x="286"/>
        <item x="128"/>
        <item x="87"/>
        <item x="184"/>
        <item x="315"/>
        <item x="280"/>
        <item x="32"/>
        <item x="179"/>
        <item x="323"/>
        <item x="48"/>
        <item x="33"/>
        <item x="204"/>
        <item x="247"/>
        <item x="205"/>
        <item x="24"/>
        <item x="134"/>
        <item x="291"/>
        <item x="287"/>
        <item x="72"/>
        <item x="225"/>
        <item x="93"/>
        <item x="126"/>
        <item x="200"/>
        <item x="340"/>
        <item x="119"/>
        <item x="113"/>
        <item x="321"/>
        <item x="98"/>
        <item x="233"/>
        <item x="124"/>
        <item x="213"/>
        <item x="288"/>
        <item x="111"/>
        <item x="202"/>
        <item t="default"/>
      </items>
    </pivotField>
    <pivotField axis="axisRow" showAll="0">
      <items count="7">
        <item x="0"/>
        <item x="1"/>
        <item x="4"/>
        <item x="2"/>
        <item x="3"/>
        <item x="5"/>
        <item t="default"/>
      </items>
    </pivotField>
    <pivotField showAll="0">
      <items count="6">
        <item x="3"/>
        <item x="1"/>
        <item x="2"/>
        <item x="0"/>
        <item x="4"/>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Sales" fld="7" baseField="0" baseItem="0"/>
  </dataFields>
  <chartFormats count="4">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0DBF86-783D-4831-99B1-C4F98F7A9E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A3:B9" firstHeaderRow="1" firstDataRow="1" firstDataCol="1"/>
  <pivotFields count="14">
    <pivotField showAll="0"/>
    <pivotField numFmtId="14" showAll="0">
      <items count="342">
        <item x="92"/>
        <item x="102"/>
        <item x="39"/>
        <item x="206"/>
        <item x="241"/>
        <item x="56"/>
        <item x="166"/>
        <item x="89"/>
        <item x="55"/>
        <item x="96"/>
        <item x="178"/>
        <item x="114"/>
        <item x="77"/>
        <item x="277"/>
        <item x="125"/>
        <item x="215"/>
        <item x="81"/>
        <item x="275"/>
        <item x="174"/>
        <item x="159"/>
        <item x="133"/>
        <item x="283"/>
        <item x="19"/>
        <item x="194"/>
        <item x="297"/>
        <item x="84"/>
        <item x="150"/>
        <item x="293"/>
        <item x="273"/>
        <item x="192"/>
        <item x="147"/>
        <item x="257"/>
        <item x="60"/>
        <item x="333"/>
        <item x="158"/>
        <item x="258"/>
        <item x="254"/>
        <item x="234"/>
        <item x="316"/>
        <item x="13"/>
        <item x="57"/>
        <item x="226"/>
        <item x="69"/>
        <item x="68"/>
        <item x="23"/>
        <item x="12"/>
        <item x="103"/>
        <item x="235"/>
        <item x="123"/>
        <item x="296"/>
        <item x="312"/>
        <item x="136"/>
        <item x="1"/>
        <item x="31"/>
        <item x="155"/>
        <item x="44"/>
        <item x="142"/>
        <item x="120"/>
        <item x="30"/>
        <item x="304"/>
        <item x="299"/>
        <item x="171"/>
        <item x="91"/>
        <item x="131"/>
        <item x="144"/>
        <item x="285"/>
        <item x="176"/>
        <item x="261"/>
        <item x="236"/>
        <item x="65"/>
        <item x="318"/>
        <item x="34"/>
        <item x="139"/>
        <item x="320"/>
        <item x="334"/>
        <item x="224"/>
        <item x="329"/>
        <item x="339"/>
        <item x="216"/>
        <item x="308"/>
        <item x="264"/>
        <item x="209"/>
        <item x="265"/>
        <item x="53"/>
        <item x="62"/>
        <item x="332"/>
        <item x="66"/>
        <item x="211"/>
        <item x="237"/>
        <item x="307"/>
        <item x="67"/>
        <item x="80"/>
        <item x="86"/>
        <item x="300"/>
        <item x="152"/>
        <item x="230"/>
        <item x="259"/>
        <item x="90"/>
        <item x="279"/>
        <item x="246"/>
        <item x="190"/>
        <item x="317"/>
        <item x="50"/>
        <item x="326"/>
        <item x="169"/>
        <item x="85"/>
        <item x="118"/>
        <item x="193"/>
        <item x="0"/>
        <item x="122"/>
        <item x="248"/>
        <item x="311"/>
        <item x="319"/>
        <item x="294"/>
        <item x="322"/>
        <item x="100"/>
        <item x="163"/>
        <item x="335"/>
        <item x="29"/>
        <item x="183"/>
        <item x="105"/>
        <item x="27"/>
        <item x="295"/>
        <item x="186"/>
        <item x="196"/>
        <item x="25"/>
        <item x="251"/>
        <item x="338"/>
        <item x="151"/>
        <item x="73"/>
        <item x="292"/>
        <item x="181"/>
        <item x="188"/>
        <item x="175"/>
        <item x="269"/>
        <item x="22"/>
        <item x="108"/>
        <item x="42"/>
        <item x="52"/>
        <item x="272"/>
        <item x="337"/>
        <item x="324"/>
        <item x="278"/>
        <item x="256"/>
        <item x="40"/>
        <item x="250"/>
        <item x="49"/>
        <item x="36"/>
        <item x="149"/>
        <item x="172"/>
        <item x="229"/>
        <item x="64"/>
        <item x="173"/>
        <item x="331"/>
        <item x="41"/>
        <item x="99"/>
        <item x="18"/>
        <item x="185"/>
        <item x="231"/>
        <item x="281"/>
        <item x="208"/>
        <item x="327"/>
        <item x="2"/>
        <item x="110"/>
        <item x="164"/>
        <item x="129"/>
        <item x="47"/>
        <item x="197"/>
        <item x="160"/>
        <item x="191"/>
        <item x="305"/>
        <item x="153"/>
        <item x="262"/>
        <item x="70"/>
        <item x="243"/>
        <item x="274"/>
        <item x="303"/>
        <item x="314"/>
        <item x="46"/>
        <item x="21"/>
        <item x="117"/>
        <item x="157"/>
        <item x="16"/>
        <item x="310"/>
        <item x="101"/>
        <item x="170"/>
        <item x="284"/>
        <item x="37"/>
        <item x="162"/>
        <item x="28"/>
        <item x="260"/>
        <item x="143"/>
        <item x="165"/>
        <item x="198"/>
        <item x="263"/>
        <item x="228"/>
        <item x="207"/>
        <item x="177"/>
        <item x="222"/>
        <item x="218"/>
        <item x="161"/>
        <item x="63"/>
        <item x="302"/>
        <item x="8"/>
        <item x="10"/>
        <item x="146"/>
        <item x="168"/>
        <item x="71"/>
        <item x="187"/>
        <item x="51"/>
        <item x="97"/>
        <item x="203"/>
        <item x="17"/>
        <item x="76"/>
        <item x="270"/>
        <item x="330"/>
        <item x="3"/>
        <item x="130"/>
        <item x="271"/>
        <item x="266"/>
        <item x="59"/>
        <item x="79"/>
        <item x="325"/>
        <item x="219"/>
        <item x="121"/>
        <item x="54"/>
        <item x="95"/>
        <item x="5"/>
        <item x="201"/>
        <item x="140"/>
        <item x="301"/>
        <item x="217"/>
        <item x="182"/>
        <item x="104"/>
        <item x="167"/>
        <item x="267"/>
        <item x="306"/>
        <item x="212"/>
        <item x="255"/>
        <item x="240"/>
        <item x="137"/>
        <item x="58"/>
        <item x="11"/>
        <item x="20"/>
        <item x="135"/>
        <item x="290"/>
        <item x="9"/>
        <item x="116"/>
        <item x="75"/>
        <item x="282"/>
        <item x="239"/>
        <item x="156"/>
        <item x="242"/>
        <item x="115"/>
        <item x="298"/>
        <item x="88"/>
        <item x="145"/>
        <item x="141"/>
        <item x="7"/>
        <item x="38"/>
        <item x="189"/>
        <item x="221"/>
        <item x="83"/>
        <item x="127"/>
        <item x="199"/>
        <item x="268"/>
        <item x="238"/>
        <item x="220"/>
        <item x="313"/>
        <item x="154"/>
        <item x="309"/>
        <item x="289"/>
        <item x="132"/>
        <item x="210"/>
        <item x="252"/>
        <item x="148"/>
        <item x="82"/>
        <item x="276"/>
        <item x="4"/>
        <item x="15"/>
        <item x="328"/>
        <item x="138"/>
        <item x="244"/>
        <item x="94"/>
        <item x="61"/>
        <item x="45"/>
        <item x="249"/>
        <item x="78"/>
        <item x="107"/>
        <item x="43"/>
        <item x="74"/>
        <item x="214"/>
        <item x="245"/>
        <item x="180"/>
        <item x="195"/>
        <item x="112"/>
        <item x="336"/>
        <item x="6"/>
        <item x="223"/>
        <item x="35"/>
        <item x="232"/>
        <item x="26"/>
        <item x="227"/>
        <item x="106"/>
        <item x="14"/>
        <item x="109"/>
        <item x="253"/>
        <item x="286"/>
        <item x="128"/>
        <item x="87"/>
        <item x="184"/>
        <item x="315"/>
        <item x="280"/>
        <item x="32"/>
        <item x="179"/>
        <item x="323"/>
        <item x="48"/>
        <item x="33"/>
        <item x="204"/>
        <item x="247"/>
        <item x="205"/>
        <item x="24"/>
        <item x="134"/>
        <item x="291"/>
        <item x="287"/>
        <item x="72"/>
        <item x="225"/>
        <item x="93"/>
        <item x="126"/>
        <item x="200"/>
        <item x="340"/>
        <item x="119"/>
        <item x="113"/>
        <item x="321"/>
        <item x="98"/>
        <item x="233"/>
        <item x="124"/>
        <item x="213"/>
        <item x="288"/>
        <item x="111"/>
        <item x="202"/>
        <item t="default"/>
      </items>
    </pivotField>
    <pivotField showAll="0">
      <items count="7">
        <item x="0"/>
        <item x="1"/>
        <item x="4"/>
        <item x="2"/>
        <item x="5"/>
        <item x="3"/>
        <item t="default"/>
      </items>
    </pivotField>
    <pivotField axis="axisRow" showAll="0" sortType="ascending">
      <items count="6">
        <item x="3"/>
        <item x="1"/>
        <item x="2"/>
        <item x="0"/>
        <item x="4"/>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Sales" fld="7" baseField="0" baseItem="0"/>
  </dataFields>
  <chartFormats count="12">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3" count="1" selected="0">
            <x v="0"/>
          </reference>
        </references>
      </pivotArea>
    </chartFormat>
    <chartFormat chart="13" format="21">
      <pivotArea type="data" outline="0" fieldPosition="0">
        <references count="2">
          <reference field="4294967294" count="1" selected="0">
            <x v="0"/>
          </reference>
          <reference field="3" count="1" selected="0">
            <x v="1"/>
          </reference>
        </references>
      </pivotArea>
    </chartFormat>
    <chartFormat chart="13" format="22">
      <pivotArea type="data" outline="0" fieldPosition="0">
        <references count="2">
          <reference field="4294967294" count="1" selected="0">
            <x v="0"/>
          </reference>
          <reference field="3" count="1" selected="0">
            <x v="2"/>
          </reference>
        </references>
      </pivotArea>
    </chartFormat>
    <chartFormat chart="13" format="23">
      <pivotArea type="data" outline="0" fieldPosition="0">
        <references count="2">
          <reference field="4294967294" count="1" selected="0">
            <x v="0"/>
          </reference>
          <reference field="3" count="1" selected="0">
            <x v="3"/>
          </reference>
        </references>
      </pivotArea>
    </chartFormat>
    <chartFormat chart="13" format="24">
      <pivotArea type="data" outline="0" fieldPosition="0">
        <references count="2">
          <reference field="4294967294" count="1" selected="0">
            <x v="0"/>
          </reference>
          <reference field="3" count="1" selected="0">
            <x v="4"/>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3" count="1" selected="0">
            <x v="0"/>
          </reference>
        </references>
      </pivotArea>
    </chartFormat>
    <chartFormat chart="14" format="21">
      <pivotArea type="data" outline="0" fieldPosition="0">
        <references count="2">
          <reference field="4294967294" count="1" selected="0">
            <x v="0"/>
          </reference>
          <reference field="3" count="1" selected="0">
            <x v="1"/>
          </reference>
        </references>
      </pivotArea>
    </chartFormat>
    <chartFormat chart="14" format="22">
      <pivotArea type="data" outline="0" fieldPosition="0">
        <references count="2">
          <reference field="4294967294" count="1" selected="0">
            <x v="0"/>
          </reference>
          <reference field="3" count="1" selected="0">
            <x v="2"/>
          </reference>
        </references>
      </pivotArea>
    </chartFormat>
    <chartFormat chart="14" format="23">
      <pivotArea type="data" outline="0" fieldPosition="0">
        <references count="2">
          <reference field="4294967294" count="1" selected="0">
            <x v="0"/>
          </reference>
          <reference field="3" count="1" selected="0">
            <x v="3"/>
          </reference>
        </references>
      </pivotArea>
    </chartFormat>
    <chartFormat chart="14" format="2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90FDA-7365-4C63-B961-5390EC4015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A3:B14" firstHeaderRow="1" firstDataRow="1" firstDataCol="1"/>
  <pivotFields count="14">
    <pivotField showAll="0"/>
    <pivotField numFmtId="14" showAll="0">
      <items count="342">
        <item x="92"/>
        <item x="102"/>
        <item x="39"/>
        <item x="206"/>
        <item x="241"/>
        <item x="56"/>
        <item x="166"/>
        <item x="89"/>
        <item x="55"/>
        <item x="96"/>
        <item x="178"/>
        <item x="114"/>
        <item x="77"/>
        <item x="277"/>
        <item x="125"/>
        <item x="215"/>
        <item x="81"/>
        <item x="275"/>
        <item x="174"/>
        <item x="159"/>
        <item x="133"/>
        <item x="283"/>
        <item x="19"/>
        <item x="194"/>
        <item x="297"/>
        <item x="84"/>
        <item x="150"/>
        <item x="293"/>
        <item x="273"/>
        <item x="192"/>
        <item x="147"/>
        <item x="257"/>
        <item x="60"/>
        <item x="333"/>
        <item x="158"/>
        <item x="258"/>
        <item x="254"/>
        <item x="234"/>
        <item x="316"/>
        <item x="13"/>
        <item x="57"/>
        <item x="226"/>
        <item x="69"/>
        <item x="68"/>
        <item x="23"/>
        <item x="12"/>
        <item x="103"/>
        <item x="235"/>
        <item x="123"/>
        <item x="296"/>
        <item x="312"/>
        <item x="136"/>
        <item x="1"/>
        <item x="31"/>
        <item x="155"/>
        <item x="44"/>
        <item x="142"/>
        <item x="120"/>
        <item x="30"/>
        <item x="304"/>
        <item x="299"/>
        <item x="171"/>
        <item x="91"/>
        <item x="131"/>
        <item x="144"/>
        <item x="285"/>
        <item x="176"/>
        <item x="261"/>
        <item x="236"/>
        <item x="65"/>
        <item x="318"/>
        <item x="34"/>
        <item x="139"/>
        <item x="320"/>
        <item x="334"/>
        <item x="224"/>
        <item x="329"/>
        <item x="339"/>
        <item x="216"/>
        <item x="308"/>
        <item x="264"/>
        <item x="209"/>
        <item x="265"/>
        <item x="53"/>
        <item x="62"/>
        <item x="332"/>
        <item x="66"/>
        <item x="211"/>
        <item x="237"/>
        <item x="307"/>
        <item x="67"/>
        <item x="80"/>
        <item x="86"/>
        <item x="300"/>
        <item x="152"/>
        <item x="230"/>
        <item x="259"/>
        <item x="90"/>
        <item x="279"/>
        <item x="246"/>
        <item x="190"/>
        <item x="317"/>
        <item x="50"/>
        <item x="326"/>
        <item x="169"/>
        <item x="85"/>
        <item x="118"/>
        <item x="193"/>
        <item x="0"/>
        <item x="122"/>
        <item x="248"/>
        <item x="311"/>
        <item x="319"/>
        <item x="294"/>
        <item x="322"/>
        <item x="100"/>
        <item x="163"/>
        <item x="335"/>
        <item x="29"/>
        <item x="183"/>
        <item x="105"/>
        <item x="27"/>
        <item x="295"/>
        <item x="186"/>
        <item x="196"/>
        <item x="25"/>
        <item x="251"/>
        <item x="338"/>
        <item x="151"/>
        <item x="73"/>
        <item x="292"/>
        <item x="181"/>
        <item x="188"/>
        <item x="175"/>
        <item x="269"/>
        <item x="22"/>
        <item x="108"/>
        <item x="42"/>
        <item x="52"/>
        <item x="272"/>
        <item x="337"/>
        <item x="324"/>
        <item x="278"/>
        <item x="256"/>
        <item x="40"/>
        <item x="250"/>
        <item x="49"/>
        <item x="36"/>
        <item x="149"/>
        <item x="172"/>
        <item x="229"/>
        <item x="64"/>
        <item x="173"/>
        <item x="331"/>
        <item x="41"/>
        <item x="99"/>
        <item x="18"/>
        <item x="185"/>
        <item x="231"/>
        <item x="281"/>
        <item x="208"/>
        <item x="327"/>
        <item x="2"/>
        <item x="110"/>
        <item x="164"/>
        <item x="129"/>
        <item x="47"/>
        <item x="197"/>
        <item x="160"/>
        <item x="191"/>
        <item x="305"/>
        <item x="153"/>
        <item x="262"/>
        <item x="70"/>
        <item x="243"/>
        <item x="274"/>
        <item x="303"/>
        <item x="314"/>
        <item x="46"/>
        <item x="21"/>
        <item x="117"/>
        <item x="157"/>
        <item x="16"/>
        <item x="310"/>
        <item x="101"/>
        <item x="170"/>
        <item x="284"/>
        <item x="37"/>
        <item x="162"/>
        <item x="28"/>
        <item x="260"/>
        <item x="143"/>
        <item x="165"/>
        <item x="198"/>
        <item x="263"/>
        <item x="228"/>
        <item x="207"/>
        <item x="177"/>
        <item x="222"/>
        <item x="218"/>
        <item x="161"/>
        <item x="63"/>
        <item x="302"/>
        <item x="8"/>
        <item x="10"/>
        <item x="146"/>
        <item x="168"/>
        <item x="71"/>
        <item x="187"/>
        <item x="51"/>
        <item x="97"/>
        <item x="203"/>
        <item x="17"/>
        <item x="76"/>
        <item x="270"/>
        <item x="330"/>
        <item x="3"/>
        <item x="130"/>
        <item x="271"/>
        <item x="266"/>
        <item x="59"/>
        <item x="79"/>
        <item x="325"/>
        <item x="219"/>
        <item x="121"/>
        <item x="54"/>
        <item x="95"/>
        <item x="5"/>
        <item x="201"/>
        <item x="140"/>
        <item x="301"/>
        <item x="217"/>
        <item x="182"/>
        <item x="104"/>
        <item x="167"/>
        <item x="267"/>
        <item x="306"/>
        <item x="212"/>
        <item x="255"/>
        <item x="240"/>
        <item x="137"/>
        <item x="58"/>
        <item x="11"/>
        <item x="20"/>
        <item x="135"/>
        <item x="290"/>
        <item x="9"/>
        <item x="116"/>
        <item x="75"/>
        <item x="282"/>
        <item x="239"/>
        <item x="156"/>
        <item x="242"/>
        <item x="115"/>
        <item x="298"/>
        <item x="88"/>
        <item x="145"/>
        <item x="141"/>
        <item x="7"/>
        <item x="38"/>
        <item x="189"/>
        <item x="221"/>
        <item x="83"/>
        <item x="127"/>
        <item x="199"/>
        <item x="268"/>
        <item x="238"/>
        <item x="220"/>
        <item x="313"/>
        <item x="154"/>
        <item x="309"/>
        <item x="289"/>
        <item x="132"/>
        <item x="210"/>
        <item x="252"/>
        <item x="148"/>
        <item x="82"/>
        <item x="276"/>
        <item x="4"/>
        <item x="15"/>
        <item x="328"/>
        <item x="138"/>
        <item x="244"/>
        <item x="94"/>
        <item x="61"/>
        <item x="45"/>
        <item x="249"/>
        <item x="78"/>
        <item x="107"/>
        <item x="43"/>
        <item x="74"/>
        <item x="214"/>
        <item x="245"/>
        <item x="180"/>
        <item x="195"/>
        <item x="112"/>
        <item x="336"/>
        <item x="6"/>
        <item x="223"/>
        <item x="35"/>
        <item x="232"/>
        <item x="26"/>
        <item x="227"/>
        <item x="106"/>
        <item x="14"/>
        <item x="109"/>
        <item x="253"/>
        <item x="286"/>
        <item x="128"/>
        <item x="87"/>
        <item x="184"/>
        <item x="315"/>
        <item x="280"/>
        <item x="32"/>
        <item x="179"/>
        <item x="323"/>
        <item x="48"/>
        <item x="33"/>
        <item x="204"/>
        <item x="247"/>
        <item x="205"/>
        <item x="24"/>
        <item x="134"/>
        <item x="291"/>
        <item x="287"/>
        <item x="72"/>
        <item x="225"/>
        <item x="93"/>
        <item x="126"/>
        <item x="200"/>
        <item x="340"/>
        <item x="119"/>
        <item x="113"/>
        <item x="321"/>
        <item x="98"/>
        <item x="233"/>
        <item x="124"/>
        <item x="213"/>
        <item x="288"/>
        <item x="111"/>
        <item x="202"/>
        <item t="default"/>
      </items>
    </pivotField>
    <pivotField showAll="0">
      <items count="7">
        <item x="0"/>
        <item x="1"/>
        <item x="4"/>
        <item x="2"/>
        <item x="5"/>
        <item x="3"/>
        <item t="default"/>
      </items>
    </pivotField>
    <pivotField showAll="0">
      <items count="6">
        <item x="3"/>
        <item x="1"/>
        <item x="2"/>
        <item x="0"/>
        <item x="4"/>
        <item t="default"/>
      </items>
    </pivotField>
    <pivotField axis="axisRow" showAll="0" measureFilter="1" sortType="ascending">
      <items count="19">
        <item x="11"/>
        <item x="5"/>
        <item x="4"/>
        <item x="6"/>
        <item x="10"/>
        <item x="0"/>
        <item x="7"/>
        <item x="14"/>
        <item x="17"/>
        <item x="12"/>
        <item x="3"/>
        <item x="15"/>
        <item x="13"/>
        <item x="9"/>
        <item x="8"/>
        <item x="1"/>
        <item x="1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4"/>
    </i>
    <i>
      <x v="5"/>
    </i>
    <i>
      <x v="1"/>
    </i>
    <i>
      <x v="7"/>
    </i>
    <i>
      <x v="17"/>
    </i>
    <i>
      <x/>
    </i>
    <i>
      <x v="8"/>
    </i>
    <i>
      <x v="11"/>
    </i>
    <i>
      <x v="2"/>
    </i>
    <i>
      <x v="6"/>
    </i>
    <i t="grand">
      <x/>
    </i>
  </rowItems>
  <colItems count="1">
    <i/>
  </colItems>
  <dataFields count="1">
    <dataField name="Sum of Profit" fld="9" baseField="0" baseItem="0"/>
  </dataFields>
  <chartFormats count="2">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35732E-F80C-4CA8-8694-CE8B55E9AA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showAll="0"/>
    <pivotField numFmtId="14" showAll="0">
      <items count="342">
        <item x="92"/>
        <item x="102"/>
        <item x="39"/>
        <item x="206"/>
        <item x="241"/>
        <item x="56"/>
        <item x="166"/>
        <item x="89"/>
        <item x="55"/>
        <item x="96"/>
        <item x="178"/>
        <item x="114"/>
        <item x="77"/>
        <item x="277"/>
        <item x="125"/>
        <item x="215"/>
        <item x="81"/>
        <item x="275"/>
        <item x="174"/>
        <item x="159"/>
        <item x="133"/>
        <item x="283"/>
        <item x="19"/>
        <item x="194"/>
        <item x="297"/>
        <item x="84"/>
        <item x="150"/>
        <item x="293"/>
        <item x="273"/>
        <item x="192"/>
        <item x="147"/>
        <item x="257"/>
        <item x="60"/>
        <item x="333"/>
        <item x="158"/>
        <item x="258"/>
        <item x="254"/>
        <item x="234"/>
        <item x="316"/>
        <item x="13"/>
        <item x="57"/>
        <item x="226"/>
        <item x="69"/>
        <item x="68"/>
        <item x="23"/>
        <item x="12"/>
        <item x="103"/>
        <item x="235"/>
        <item x="123"/>
        <item x="296"/>
        <item x="312"/>
        <item x="136"/>
        <item x="1"/>
        <item x="31"/>
        <item x="155"/>
        <item x="44"/>
        <item x="142"/>
        <item x="120"/>
        <item x="30"/>
        <item x="304"/>
        <item x="299"/>
        <item x="171"/>
        <item x="91"/>
        <item x="131"/>
        <item x="144"/>
        <item x="285"/>
        <item x="176"/>
        <item x="261"/>
        <item x="236"/>
        <item x="65"/>
        <item x="318"/>
        <item x="34"/>
        <item x="139"/>
        <item x="320"/>
        <item x="334"/>
        <item x="224"/>
        <item x="329"/>
        <item x="339"/>
        <item x="216"/>
        <item x="308"/>
        <item x="264"/>
        <item x="209"/>
        <item x="265"/>
        <item x="53"/>
        <item x="62"/>
        <item x="332"/>
        <item x="66"/>
        <item x="211"/>
        <item x="237"/>
        <item x="307"/>
        <item x="67"/>
        <item x="80"/>
        <item x="86"/>
        <item x="300"/>
        <item x="152"/>
        <item x="230"/>
        <item x="259"/>
        <item x="90"/>
        <item x="279"/>
        <item x="246"/>
        <item x="190"/>
        <item x="317"/>
        <item x="50"/>
        <item x="326"/>
        <item x="169"/>
        <item x="85"/>
        <item x="118"/>
        <item x="193"/>
        <item x="0"/>
        <item x="122"/>
        <item x="248"/>
        <item x="311"/>
        <item x="319"/>
        <item x="294"/>
        <item x="322"/>
        <item x="100"/>
        <item x="163"/>
        <item x="335"/>
        <item x="29"/>
        <item x="183"/>
        <item x="105"/>
        <item x="27"/>
        <item x="295"/>
        <item x="186"/>
        <item x="196"/>
        <item x="25"/>
        <item x="251"/>
        <item x="338"/>
        <item x="151"/>
        <item x="73"/>
        <item x="292"/>
        <item x="181"/>
        <item x="188"/>
        <item x="175"/>
        <item x="269"/>
        <item x="22"/>
        <item x="108"/>
        <item x="42"/>
        <item x="52"/>
        <item x="272"/>
        <item x="337"/>
        <item x="324"/>
        <item x="278"/>
        <item x="256"/>
        <item x="40"/>
        <item x="250"/>
        <item x="49"/>
        <item x="36"/>
        <item x="149"/>
        <item x="172"/>
        <item x="229"/>
        <item x="64"/>
        <item x="173"/>
        <item x="331"/>
        <item x="41"/>
        <item x="99"/>
        <item x="18"/>
        <item x="185"/>
        <item x="231"/>
        <item x="281"/>
        <item x="208"/>
        <item x="327"/>
        <item x="2"/>
        <item x="110"/>
        <item x="164"/>
        <item x="129"/>
        <item x="47"/>
        <item x="197"/>
        <item x="160"/>
        <item x="191"/>
        <item x="305"/>
        <item x="153"/>
        <item x="262"/>
        <item x="70"/>
        <item x="243"/>
        <item x="274"/>
        <item x="303"/>
        <item x="314"/>
        <item x="46"/>
        <item x="21"/>
        <item x="117"/>
        <item x="157"/>
        <item x="16"/>
        <item x="310"/>
        <item x="101"/>
        <item x="170"/>
        <item x="284"/>
        <item x="37"/>
        <item x="162"/>
        <item x="28"/>
        <item x="260"/>
        <item x="143"/>
        <item x="165"/>
        <item x="198"/>
        <item x="263"/>
        <item x="228"/>
        <item x="207"/>
        <item x="177"/>
        <item x="222"/>
        <item x="218"/>
        <item x="161"/>
        <item x="63"/>
        <item x="302"/>
        <item x="8"/>
        <item x="10"/>
        <item x="146"/>
        <item x="168"/>
        <item x="71"/>
        <item x="187"/>
        <item x="51"/>
        <item x="97"/>
        <item x="203"/>
        <item x="17"/>
        <item x="76"/>
        <item x="270"/>
        <item x="330"/>
        <item x="3"/>
        <item x="130"/>
        <item x="271"/>
        <item x="266"/>
        <item x="59"/>
        <item x="79"/>
        <item x="325"/>
        <item x="219"/>
        <item x="121"/>
        <item x="54"/>
        <item x="95"/>
        <item x="5"/>
        <item x="201"/>
        <item x="140"/>
        <item x="301"/>
        <item x="217"/>
        <item x="182"/>
        <item x="104"/>
        <item x="167"/>
        <item x="267"/>
        <item x="306"/>
        <item x="212"/>
        <item x="255"/>
        <item x="240"/>
        <item x="137"/>
        <item x="58"/>
        <item x="11"/>
        <item x="20"/>
        <item x="135"/>
        <item x="290"/>
        <item x="9"/>
        <item x="116"/>
        <item x="75"/>
        <item x="282"/>
        <item x="239"/>
        <item x="156"/>
        <item x="242"/>
        <item x="115"/>
        <item x="298"/>
        <item x="88"/>
        <item x="145"/>
        <item x="141"/>
        <item x="7"/>
        <item x="38"/>
        <item x="189"/>
        <item x="221"/>
        <item x="83"/>
        <item x="127"/>
        <item x="199"/>
        <item x="268"/>
        <item x="238"/>
        <item x="220"/>
        <item x="313"/>
        <item x="154"/>
        <item x="309"/>
        <item x="289"/>
        <item x="132"/>
        <item x="210"/>
        <item x="252"/>
        <item x="148"/>
        <item x="82"/>
        <item x="276"/>
        <item x="4"/>
        <item x="15"/>
        <item x="328"/>
        <item x="138"/>
        <item x="244"/>
        <item x="94"/>
        <item x="61"/>
        <item x="45"/>
        <item x="249"/>
        <item x="78"/>
        <item x="107"/>
        <item x="43"/>
        <item x="74"/>
        <item x="214"/>
        <item x="245"/>
        <item x="180"/>
        <item x="195"/>
        <item x="112"/>
        <item x="336"/>
        <item x="6"/>
        <item x="223"/>
        <item x="35"/>
        <item x="232"/>
        <item x="26"/>
        <item x="227"/>
        <item x="106"/>
        <item x="14"/>
        <item x="109"/>
        <item x="253"/>
        <item x="286"/>
        <item x="128"/>
        <item x="87"/>
        <item x="184"/>
        <item x="315"/>
        <item x="280"/>
        <item x="32"/>
        <item x="179"/>
        <item x="323"/>
        <item x="48"/>
        <item x="33"/>
        <item x="204"/>
        <item x="247"/>
        <item x="205"/>
        <item x="24"/>
        <item x="134"/>
        <item x="291"/>
        <item x="287"/>
        <item x="72"/>
        <item x="225"/>
        <item x="93"/>
        <item x="126"/>
        <item x="200"/>
        <item x="340"/>
        <item x="119"/>
        <item x="113"/>
        <item x="321"/>
        <item x="98"/>
        <item x="233"/>
        <item x="124"/>
        <item x="213"/>
        <item x="288"/>
        <item x="111"/>
        <item x="202"/>
        <item t="default"/>
      </items>
    </pivotField>
    <pivotField showAll="0">
      <items count="7">
        <item x="0"/>
        <item x="1"/>
        <item x="4"/>
        <item x="2"/>
        <item x="5"/>
        <item x="3"/>
        <item t="default"/>
      </items>
    </pivotField>
    <pivotField showAll="0">
      <items count="6">
        <item x="3"/>
        <item x="1"/>
        <item x="2"/>
        <item x="0"/>
        <item x="4"/>
        <item t="default"/>
      </items>
    </pivotField>
    <pivotField showAll="0"/>
    <pivotField dataField="1" showAll="0"/>
    <pivotField showAll="0"/>
    <pivotField dataField="1"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7" baseField="0" baseItem="0" numFmtId="43"/>
    <dataField name="Sum of Profit" fld="9" baseField="0" baseItem="0" numFmtId="43"/>
    <dataField name="Sum of Quantity" fld="5" baseField="0" baseItem="0" numFmtId="164"/>
    <dataField name="Count of Order_ID" fld="0" subtotal="count" baseField="0" baseItem="0"/>
  </dataFields>
  <formats count="3">
    <format dxfId="75">
      <pivotArea outline="0" collapsedLevelsAreSubtotals="1" fieldPosition="0">
        <references count="1">
          <reference field="4294967294" count="1" selected="0">
            <x v="0"/>
          </reference>
        </references>
      </pivotArea>
    </format>
    <format dxfId="74">
      <pivotArea outline="0" collapsedLevelsAreSubtotals="1" fieldPosition="0">
        <references count="1">
          <reference field="4294967294" count="1" selected="0">
            <x v="1"/>
          </reference>
        </references>
      </pivotArea>
    </format>
    <format dxfId="7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BE5A89-8E6C-44D9-B6C4-9D21B6AAE37E}" sourceName="Region">
  <pivotTables>
    <pivotTable tabId="5" name="PivotTable2"/>
    <pivotTable tabId="4" name="PivotTable1"/>
    <pivotTable tabId="6" name="PivotTable3"/>
    <pivotTable tabId="7" name="PivotTable4"/>
    <pivotTable tabId="18" name="PivotTable6"/>
  </pivotTables>
  <data>
    <tabular pivotCacheId="1456557546">
      <items count="6">
        <i x="0" s="1"/>
        <i x="1" s="1"/>
        <i x="4"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3C1651-856C-4B84-AAE6-7D4CD4069CE6}" sourceName="Category">
  <pivotTables>
    <pivotTable tabId="6" name="PivotTable3"/>
    <pivotTable tabId="4" name="PivotTable1"/>
    <pivotTable tabId="7" name="PivotTable4"/>
    <pivotTable tabId="5" name="PivotTable2"/>
    <pivotTable tabId="18" name="PivotTable6"/>
  </pivotTables>
  <data>
    <tabular pivotCacheId="1456557546">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0B2488-D97A-4097-944F-3469AEBFEEA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96568F1-51D8-4B92-B9FD-E517713597B9}" cache="Slicer_Region" caption="Region" rowHeight="234950"/>
  <slicer name="Category 1" xr10:uid="{4D7F517F-33BA-4821-9C0D-C3F4B56807DE}"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A991E28-85C2-410D-A3DE-F0309BB3DA12}"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BBD940-43A8-4D7B-A765-0D94A1149189}" name="SalesData" displayName="SalesData" ref="A1:L996" totalsRowShown="0">
  <autoFilter ref="A1:L996" xr:uid="{28BBD940-43A8-4D7B-A765-0D94A1149189}"/>
  <tableColumns count="12">
    <tableColumn id="1" xr3:uid="{BDE8A183-9A9A-491F-B2E0-9494B07256E4}" name="Order_ID"/>
    <tableColumn id="2" xr3:uid="{728710D1-BDD8-4559-9C5D-7CD9542A9BFE}" name="Order_Date" dataDxfId="72"/>
    <tableColumn id="3" xr3:uid="{A80394CD-2663-49EC-89E2-E3083138D9AC}" name="Region"/>
    <tableColumn id="4" xr3:uid="{3E740C1F-73D8-40EA-BF77-DB85E19A2730}" name="Category"/>
    <tableColumn id="5" xr3:uid="{8CE3A24B-4AF3-4E79-B594-DFF1ADEA8480}" name="Product"/>
    <tableColumn id="6" xr3:uid="{BBB7D206-788C-400F-938E-7A6D420FCD90}" name="Quantity"/>
    <tableColumn id="7" xr3:uid="{CDB3BEC3-B01B-48CB-88FE-790B9F80BEC6}" name="Unit_Price"/>
    <tableColumn id="8" xr3:uid="{2AC6A902-A804-4B5D-AC0C-683C68837799}" name="Sales"/>
    <tableColumn id="9" xr3:uid="{E076195F-D7EE-4533-A485-2FC68EA1CB25}" name="Discount"/>
    <tableColumn id="10" xr3:uid="{C543022F-542C-4685-A2ED-79CFFF117E9E}" name="Profit"/>
    <tableColumn id="11" xr3:uid="{067B533B-A5CE-4A73-A0C9-D8D2D80397FF}" name="Sales_Channel"/>
    <tableColumn id="12" xr3:uid="{D868B72C-05B5-47B4-B13D-455670AB9409}" name="Customer_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28E2-AD22-440F-98F8-1569B56883F0}">
  <dimension ref="A3:B16"/>
  <sheetViews>
    <sheetView workbookViewId="0">
      <selection activeCell="D4" sqref="D4"/>
    </sheetView>
  </sheetViews>
  <sheetFormatPr defaultRowHeight="14.4" x14ac:dyDescent="0.3"/>
  <cols>
    <col min="1" max="1" width="12.5546875" bestFit="1" customWidth="1"/>
    <col min="2" max="2" width="11.6640625" bestFit="1" customWidth="1"/>
  </cols>
  <sheetData>
    <row r="3" spans="1:2" x14ac:dyDescent="0.3">
      <c r="A3" s="3" t="s">
        <v>1041</v>
      </c>
      <c r="B3" t="s">
        <v>1055</v>
      </c>
    </row>
    <row r="4" spans="1:2" x14ac:dyDescent="0.3">
      <c r="A4" s="4" t="s">
        <v>1043</v>
      </c>
      <c r="B4" s="9">
        <v>2057698.5</v>
      </c>
    </row>
    <row r="5" spans="1:2" x14ac:dyDescent="0.3">
      <c r="A5" s="4" t="s">
        <v>1044</v>
      </c>
      <c r="B5" s="9">
        <v>2130781.5</v>
      </c>
    </row>
    <row r="6" spans="1:2" x14ac:dyDescent="0.3">
      <c r="A6" s="4" t="s">
        <v>1045</v>
      </c>
      <c r="B6" s="9">
        <v>2667736.5</v>
      </c>
    </row>
    <row r="7" spans="1:2" x14ac:dyDescent="0.3">
      <c r="A7" s="4" t="s">
        <v>1046</v>
      </c>
      <c r="B7" s="9">
        <v>2354431</v>
      </c>
    </row>
    <row r="8" spans="1:2" x14ac:dyDescent="0.3">
      <c r="A8" s="4" t="s">
        <v>1047</v>
      </c>
      <c r="B8" s="9">
        <v>2768001</v>
      </c>
    </row>
    <row r="9" spans="1:2" x14ac:dyDescent="0.3">
      <c r="A9" s="4" t="s">
        <v>1048</v>
      </c>
      <c r="B9" s="9">
        <v>1921204</v>
      </c>
    </row>
    <row r="10" spans="1:2" x14ac:dyDescent="0.3">
      <c r="A10" s="4" t="s">
        <v>1049</v>
      </c>
      <c r="B10" s="9">
        <v>2538461.5</v>
      </c>
    </row>
    <row r="11" spans="1:2" x14ac:dyDescent="0.3">
      <c r="A11" s="4" t="s">
        <v>1050</v>
      </c>
      <c r="B11" s="9">
        <v>4017692</v>
      </c>
    </row>
    <row r="12" spans="1:2" x14ac:dyDescent="0.3">
      <c r="A12" s="4" t="s">
        <v>1051</v>
      </c>
      <c r="B12" s="9">
        <v>3404085</v>
      </c>
    </row>
    <row r="13" spans="1:2" x14ac:dyDescent="0.3">
      <c r="A13" s="4" t="s">
        <v>1052</v>
      </c>
      <c r="B13" s="9">
        <v>1251141</v>
      </c>
    </row>
    <row r="14" spans="1:2" x14ac:dyDescent="0.3">
      <c r="A14" s="4" t="s">
        <v>1053</v>
      </c>
      <c r="B14" s="9">
        <v>3495110</v>
      </c>
    </row>
    <row r="15" spans="1:2" x14ac:dyDescent="0.3">
      <c r="A15" s="4" t="s">
        <v>1054</v>
      </c>
      <c r="B15" s="9">
        <v>1289100.5</v>
      </c>
    </row>
    <row r="16" spans="1:2" x14ac:dyDescent="0.3">
      <c r="A16" s="4" t="s">
        <v>1042</v>
      </c>
      <c r="B16" s="9">
        <v>29895442.5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8076-861A-40BB-8B46-A74281D2D5F3}">
  <dimension ref="A3:B10"/>
  <sheetViews>
    <sheetView topLeftCell="A5" zoomScale="81" workbookViewId="0">
      <selection activeCell="B18" sqref="B18"/>
    </sheetView>
  </sheetViews>
  <sheetFormatPr defaultRowHeight="14.4" x14ac:dyDescent="0.3"/>
  <cols>
    <col min="1" max="1" width="13.109375" bestFit="1" customWidth="1"/>
    <col min="2" max="2" width="11.6640625" bestFit="1" customWidth="1"/>
  </cols>
  <sheetData>
    <row r="3" spans="1:2" x14ac:dyDescent="0.3">
      <c r="A3" s="3" t="s">
        <v>1041</v>
      </c>
      <c r="B3" t="s">
        <v>1055</v>
      </c>
    </row>
    <row r="4" spans="1:2" x14ac:dyDescent="0.3">
      <c r="A4" s="4" t="s">
        <v>13</v>
      </c>
      <c r="B4" s="9">
        <v>5719616</v>
      </c>
    </row>
    <row r="5" spans="1:2" x14ac:dyDescent="0.3">
      <c r="A5" s="4" t="s">
        <v>19</v>
      </c>
      <c r="B5" s="9">
        <v>6941796.5</v>
      </c>
    </row>
    <row r="6" spans="1:2" x14ac:dyDescent="0.3">
      <c r="A6" s="4" t="s">
        <v>56</v>
      </c>
      <c r="B6" s="9">
        <v>5249933</v>
      </c>
    </row>
    <row r="7" spans="1:2" x14ac:dyDescent="0.3">
      <c r="A7" s="4" t="s">
        <v>28</v>
      </c>
      <c r="B7" s="9">
        <v>6089520.5</v>
      </c>
    </row>
    <row r="8" spans="1:2" x14ac:dyDescent="0.3">
      <c r="A8" s="4" t="s">
        <v>35</v>
      </c>
      <c r="B8" s="9">
        <v>5307956.5</v>
      </c>
    </row>
    <row r="9" spans="1:2" x14ac:dyDescent="0.3">
      <c r="A9" s="4" t="s">
        <v>90</v>
      </c>
      <c r="B9" s="9">
        <v>586620</v>
      </c>
    </row>
    <row r="10" spans="1:2" x14ac:dyDescent="0.3">
      <c r="A10" s="4" t="s">
        <v>1042</v>
      </c>
      <c r="B10" s="9">
        <v>29895442.5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7735-8908-4EA2-8296-1A6A920EFFA2}">
  <dimension ref="A1:T44"/>
  <sheetViews>
    <sheetView showGridLines="0" tabSelected="1" zoomScale="62" zoomScaleNormal="62" workbookViewId="0">
      <selection activeCell="V18" sqref="V18"/>
    </sheetView>
  </sheetViews>
  <sheetFormatPr defaultRowHeight="14.4" x14ac:dyDescent="0.3"/>
  <cols>
    <col min="1" max="1" width="6.21875" customWidth="1"/>
    <col min="2" max="2" width="3.88671875" customWidth="1"/>
    <col min="18" max="18" width="8.88671875" customWidth="1"/>
    <col min="19" max="19" width="5.88671875" customWidth="1"/>
  </cols>
  <sheetData>
    <row r="1" spans="1:20" x14ac:dyDescent="0.3">
      <c r="A1" s="8"/>
      <c r="B1" s="8"/>
      <c r="C1" s="8"/>
      <c r="D1" s="8"/>
      <c r="E1" s="8"/>
      <c r="F1" s="8"/>
      <c r="G1" s="8"/>
      <c r="H1" s="8"/>
      <c r="I1" s="8"/>
      <c r="J1" s="8"/>
      <c r="K1" s="8"/>
      <c r="L1" s="8"/>
      <c r="M1" s="8"/>
      <c r="N1" s="8"/>
      <c r="O1" s="8"/>
      <c r="P1" s="8"/>
      <c r="Q1" s="8"/>
      <c r="R1" s="8"/>
      <c r="S1" s="8"/>
    </row>
    <row r="2" spans="1:20" x14ac:dyDescent="0.3">
      <c r="A2" s="8"/>
      <c r="B2" s="8"/>
      <c r="C2" s="8"/>
      <c r="D2" s="8"/>
      <c r="E2" s="8"/>
      <c r="F2" s="8"/>
      <c r="G2" s="8"/>
      <c r="H2" s="8"/>
      <c r="I2" s="8"/>
      <c r="J2" s="8"/>
      <c r="K2" s="8"/>
      <c r="L2" s="8"/>
      <c r="M2" s="8"/>
      <c r="N2" s="8"/>
      <c r="O2" s="8"/>
      <c r="P2" s="8"/>
      <c r="Q2" s="8"/>
      <c r="R2" s="8"/>
      <c r="S2" s="8"/>
    </row>
    <row r="3" spans="1:20" x14ac:dyDescent="0.3">
      <c r="A3" s="8"/>
      <c r="B3" s="8"/>
      <c r="C3" s="8"/>
      <c r="D3" s="8"/>
      <c r="E3" s="8"/>
      <c r="F3" s="8"/>
      <c r="G3" s="8"/>
      <c r="H3" s="8"/>
      <c r="I3" s="8"/>
      <c r="J3" s="8"/>
      <c r="K3" s="8"/>
      <c r="L3" s="8"/>
      <c r="M3" s="8"/>
      <c r="N3" s="8"/>
      <c r="O3" s="8"/>
      <c r="P3" s="8"/>
      <c r="Q3" s="8"/>
      <c r="R3" s="8"/>
      <c r="S3" s="8"/>
    </row>
    <row r="4" spans="1:20" x14ac:dyDescent="0.3">
      <c r="A4" s="8"/>
      <c r="B4" s="8"/>
      <c r="C4" s="8"/>
      <c r="D4" s="8"/>
      <c r="E4" s="8"/>
      <c r="F4" s="8"/>
      <c r="G4" s="8"/>
      <c r="H4" s="8"/>
      <c r="I4" s="8"/>
      <c r="J4" s="8"/>
      <c r="K4" s="8"/>
      <c r="L4" s="8"/>
      <c r="M4" s="8"/>
      <c r="N4" s="8"/>
      <c r="O4" s="8"/>
      <c r="P4" s="8"/>
      <c r="Q4" s="8"/>
      <c r="R4" s="8"/>
      <c r="S4" s="8"/>
    </row>
    <row r="5" spans="1:20" x14ac:dyDescent="0.3">
      <c r="A5" s="8"/>
      <c r="B5" s="8"/>
      <c r="C5" s="8"/>
      <c r="D5" s="8"/>
      <c r="E5" s="8"/>
      <c r="F5" s="8"/>
      <c r="G5" s="8"/>
      <c r="H5" s="8"/>
      <c r="I5" s="8"/>
      <c r="J5" s="8"/>
      <c r="K5" s="8"/>
      <c r="L5" s="8"/>
      <c r="M5" s="8"/>
      <c r="N5" s="8"/>
      <c r="O5" s="8"/>
      <c r="P5" s="8"/>
      <c r="Q5" s="8"/>
      <c r="R5" s="8"/>
      <c r="S5" s="8"/>
    </row>
    <row r="6" spans="1:20" ht="15" customHeight="1" x14ac:dyDescent="0.3">
      <c r="A6" s="8"/>
      <c r="B6" s="8"/>
      <c r="C6" s="8"/>
      <c r="D6" s="8"/>
      <c r="E6" s="8"/>
      <c r="F6" s="8"/>
      <c r="G6" s="8"/>
      <c r="H6" s="8"/>
      <c r="I6" s="8"/>
      <c r="J6" s="8"/>
      <c r="K6" s="8"/>
      <c r="L6" s="8"/>
      <c r="M6" s="8"/>
      <c r="N6" s="8"/>
      <c r="O6" s="8"/>
      <c r="P6" s="8"/>
      <c r="Q6" s="8"/>
      <c r="R6" s="8"/>
      <c r="S6" s="8"/>
    </row>
    <row r="7" spans="1:20" x14ac:dyDescent="0.3">
      <c r="A7" s="8"/>
      <c r="B7" s="8"/>
      <c r="C7" s="8"/>
      <c r="D7" s="8"/>
      <c r="E7" s="8"/>
      <c r="F7" s="8"/>
      <c r="G7" s="8"/>
      <c r="H7" s="8"/>
      <c r="I7" s="8"/>
      <c r="J7" s="8"/>
      <c r="K7" s="8"/>
      <c r="L7" s="8"/>
      <c r="M7" s="8"/>
      <c r="N7" s="8"/>
      <c r="O7" s="8"/>
      <c r="P7" s="8"/>
      <c r="Q7" s="8"/>
      <c r="R7" s="8"/>
      <c r="S7" s="8"/>
    </row>
    <row r="8" spans="1:20" x14ac:dyDescent="0.3">
      <c r="A8" s="8"/>
      <c r="B8" s="8"/>
      <c r="C8" s="8"/>
      <c r="D8" s="8"/>
      <c r="E8" s="8"/>
      <c r="F8" s="8"/>
      <c r="G8" s="8"/>
      <c r="H8" s="8"/>
      <c r="I8" s="8"/>
      <c r="J8" s="8"/>
      <c r="K8" s="8"/>
      <c r="L8" s="8"/>
      <c r="M8" s="8"/>
      <c r="N8" s="8"/>
      <c r="O8" s="8"/>
      <c r="P8" s="8"/>
      <c r="Q8" s="8"/>
      <c r="R8" s="8"/>
      <c r="S8" s="8"/>
    </row>
    <row r="9" spans="1:20" x14ac:dyDescent="0.3">
      <c r="A9" s="8"/>
      <c r="B9" s="8"/>
      <c r="C9" s="8"/>
      <c r="D9" s="8"/>
      <c r="E9" s="8"/>
      <c r="F9" s="8"/>
      <c r="G9" s="8"/>
      <c r="H9" s="8"/>
      <c r="I9" s="8"/>
      <c r="J9" s="8"/>
      <c r="K9" s="8"/>
      <c r="L9" s="8"/>
      <c r="M9" s="8"/>
      <c r="N9" s="8"/>
      <c r="O9" s="8"/>
      <c r="P9" s="8"/>
      <c r="Q9" s="8"/>
      <c r="R9" s="8"/>
      <c r="S9" s="8"/>
    </row>
    <row r="10" spans="1:20" x14ac:dyDescent="0.3">
      <c r="A10" s="8"/>
      <c r="B10" s="8"/>
      <c r="C10" s="8"/>
      <c r="D10" s="8"/>
      <c r="E10" s="8"/>
      <c r="F10" s="8"/>
      <c r="G10" s="8"/>
      <c r="H10" s="8"/>
      <c r="I10" s="8"/>
      <c r="J10" s="8"/>
      <c r="K10" s="8"/>
      <c r="L10" s="8"/>
      <c r="M10" s="8"/>
      <c r="N10" s="8"/>
      <c r="O10" s="8"/>
      <c r="P10" s="8"/>
      <c r="Q10" s="8"/>
      <c r="R10" s="8"/>
      <c r="S10" s="8"/>
    </row>
    <row r="11" spans="1:20" x14ac:dyDescent="0.3">
      <c r="A11" s="8"/>
      <c r="B11" s="8"/>
      <c r="C11" s="8"/>
      <c r="D11" s="8"/>
      <c r="E11" s="8"/>
      <c r="F11" s="8"/>
      <c r="G11" s="8"/>
      <c r="H11" s="8"/>
      <c r="I11" s="8"/>
      <c r="J11" s="8"/>
      <c r="K11" s="8"/>
      <c r="L11" s="8"/>
      <c r="M11" s="8"/>
      <c r="N11" s="8"/>
      <c r="O11" s="8"/>
      <c r="P11" s="8"/>
      <c r="Q11" s="8"/>
      <c r="R11" s="8"/>
      <c r="S11" s="8"/>
    </row>
    <row r="12" spans="1:20" x14ac:dyDescent="0.3">
      <c r="A12" s="8"/>
      <c r="B12" s="8"/>
      <c r="C12" s="8"/>
      <c r="D12" s="8"/>
      <c r="E12" s="8"/>
      <c r="F12" s="8"/>
      <c r="G12" s="8"/>
      <c r="H12" s="8"/>
      <c r="I12" s="8"/>
      <c r="J12" s="8"/>
      <c r="K12" s="8"/>
      <c r="L12" s="8"/>
      <c r="M12" s="8"/>
      <c r="N12" s="8"/>
      <c r="O12" s="8"/>
      <c r="P12" s="8"/>
      <c r="Q12" s="8"/>
      <c r="R12" s="8"/>
      <c r="S12" s="8"/>
    </row>
    <row r="13" spans="1:20" hidden="1" x14ac:dyDescent="0.3">
      <c r="A13" s="8"/>
      <c r="B13" s="8"/>
      <c r="C13" s="8"/>
      <c r="D13" s="8"/>
      <c r="E13" s="8"/>
      <c r="F13" s="8"/>
      <c r="G13" s="8"/>
      <c r="H13" s="8"/>
      <c r="I13" s="8"/>
      <c r="J13" s="8"/>
      <c r="K13" s="8"/>
      <c r="L13" s="8"/>
      <c r="M13" s="8"/>
      <c r="N13" s="8"/>
      <c r="O13" s="8"/>
      <c r="P13" s="8"/>
      <c r="Q13" s="8"/>
      <c r="R13" s="8"/>
      <c r="S13" s="8"/>
      <c r="T13" t="str">
        <f>"₹"&amp;TEXT(KPI_Data!A4,"#,##0.00")</f>
        <v>₹2,98,95,442.50</v>
      </c>
    </row>
    <row r="14" spans="1:20" hidden="1" x14ac:dyDescent="0.3">
      <c r="A14" s="8"/>
      <c r="B14" s="8"/>
      <c r="C14" s="8"/>
      <c r="D14" s="8"/>
      <c r="E14" s="8"/>
      <c r="F14" s="8"/>
      <c r="G14" s="8"/>
      <c r="H14" s="8"/>
      <c r="I14" s="8"/>
      <c r="J14" s="8"/>
      <c r="K14" s="8"/>
      <c r="L14" s="8"/>
      <c r="M14" s="8"/>
      <c r="N14" s="8"/>
      <c r="O14" s="8"/>
      <c r="P14" s="8"/>
      <c r="Q14" s="8"/>
      <c r="R14" s="8"/>
      <c r="S14" s="8"/>
      <c r="T14" t="str">
        <f>"₹"&amp;TEXT(KPI_Data!B4,"#,##0.00")</f>
        <v>₹73,47,327.56</v>
      </c>
    </row>
    <row r="15" spans="1:20" hidden="1" x14ac:dyDescent="0.3">
      <c r="A15" s="8"/>
      <c r="B15" s="8"/>
      <c r="C15" s="8"/>
      <c r="D15" s="8"/>
      <c r="E15" s="8"/>
      <c r="F15" s="8"/>
      <c r="G15" s="8"/>
      <c r="H15" s="8"/>
      <c r="I15" s="8"/>
      <c r="J15" s="8"/>
      <c r="K15" s="8"/>
      <c r="L15" s="8"/>
      <c r="M15" s="8"/>
      <c r="N15" s="8"/>
      <c r="O15" s="8"/>
      <c r="P15" s="8"/>
      <c r="Q15" s="8"/>
      <c r="R15" s="8"/>
      <c r="S15" s="8"/>
      <c r="T15" t="str">
        <f>TEXT(KPI_Data!C4,"#,##0")</f>
        <v>5,188</v>
      </c>
    </row>
    <row r="16" spans="1:20" x14ac:dyDescent="0.3">
      <c r="A16" s="8"/>
      <c r="B16" s="8"/>
      <c r="C16" s="8"/>
      <c r="D16" s="8"/>
      <c r="E16" s="8"/>
      <c r="F16" s="8"/>
      <c r="G16" s="8"/>
      <c r="H16" s="8"/>
      <c r="I16" s="8"/>
      <c r="J16" s="8"/>
      <c r="K16" s="8"/>
      <c r="L16" s="8"/>
      <c r="M16" s="8"/>
      <c r="N16" s="8"/>
      <c r="O16" s="8"/>
      <c r="P16" s="8"/>
      <c r="Q16" s="8"/>
      <c r="R16" s="8"/>
      <c r="S16" s="8"/>
    </row>
    <row r="17" spans="1:20" ht="55.2" hidden="1" customHeight="1" x14ac:dyDescent="0.3">
      <c r="A17" s="8"/>
      <c r="B17" s="8"/>
      <c r="C17" s="8"/>
      <c r="D17" s="8"/>
      <c r="E17" s="8"/>
      <c r="F17" s="8"/>
      <c r="G17" s="8"/>
      <c r="H17" s="8"/>
      <c r="I17" s="8"/>
      <c r="J17" s="8"/>
      <c r="K17" s="8"/>
      <c r="L17" s="8"/>
      <c r="M17" s="8"/>
      <c r="N17" s="8"/>
      <c r="O17" s="8"/>
      <c r="P17" s="8"/>
      <c r="Q17" s="8"/>
      <c r="R17" s="8"/>
      <c r="S17" s="8"/>
      <c r="T17" t="str">
        <f>TEXT(KPI_Data!D4,"#,##0")</f>
        <v>995</v>
      </c>
    </row>
    <row r="18" spans="1:20" ht="72" customHeight="1" x14ac:dyDescent="0.3">
      <c r="A18" s="8"/>
      <c r="B18" s="8"/>
      <c r="C18" s="8"/>
      <c r="D18" s="8"/>
      <c r="E18" s="8"/>
      <c r="F18" s="8"/>
      <c r="G18" s="8"/>
      <c r="H18" s="8"/>
      <c r="I18" s="8"/>
      <c r="J18" s="8"/>
      <c r="K18" s="8"/>
      <c r="L18" s="8"/>
      <c r="M18" s="8"/>
      <c r="N18" s="8"/>
      <c r="O18" s="8"/>
      <c r="P18" s="8"/>
      <c r="Q18" s="8"/>
      <c r="R18" s="8"/>
      <c r="S18" s="8"/>
    </row>
    <row r="19" spans="1:20" x14ac:dyDescent="0.3">
      <c r="A19" s="8"/>
      <c r="B19" s="8"/>
      <c r="C19" s="8"/>
      <c r="D19" s="8"/>
      <c r="E19" s="8"/>
      <c r="F19" s="8"/>
      <c r="G19" s="8"/>
      <c r="H19" s="8"/>
      <c r="I19" s="8"/>
      <c r="J19" s="8"/>
      <c r="K19" s="8"/>
      <c r="L19" s="8"/>
      <c r="M19" s="8"/>
      <c r="N19" s="8"/>
      <c r="O19" s="8"/>
      <c r="P19" s="8"/>
      <c r="Q19" s="8"/>
      <c r="R19" s="8"/>
      <c r="S19" s="8"/>
    </row>
    <row r="20" spans="1:20" ht="55.2" customHeight="1" x14ac:dyDescent="0.3">
      <c r="A20" s="8"/>
      <c r="B20" s="8"/>
      <c r="C20" s="8"/>
      <c r="D20" s="8"/>
      <c r="E20" s="8"/>
      <c r="F20" s="8"/>
      <c r="G20" s="8"/>
      <c r="H20" s="8"/>
      <c r="I20" s="8"/>
      <c r="J20" s="8"/>
      <c r="K20" s="8"/>
      <c r="L20" s="8"/>
      <c r="M20" s="8"/>
      <c r="N20" s="8"/>
      <c r="O20" s="8"/>
      <c r="P20" s="8"/>
      <c r="Q20" s="8"/>
      <c r="R20" s="8"/>
      <c r="S20" s="8"/>
    </row>
    <row r="21" spans="1:20" x14ac:dyDescent="0.3">
      <c r="A21" s="8"/>
      <c r="B21" s="8"/>
      <c r="C21" s="8"/>
      <c r="D21" s="8"/>
      <c r="E21" s="8"/>
      <c r="F21" s="8"/>
      <c r="G21" s="8"/>
      <c r="H21" s="8"/>
      <c r="I21" s="8"/>
      <c r="J21" s="8"/>
      <c r="K21" s="8"/>
      <c r="L21" s="8"/>
      <c r="M21" s="8"/>
      <c r="N21" s="8"/>
      <c r="O21" s="8"/>
      <c r="P21" s="8"/>
      <c r="Q21" s="8"/>
      <c r="R21" s="8"/>
      <c r="S21" s="8"/>
    </row>
    <row r="22" spans="1:20" x14ac:dyDescent="0.3">
      <c r="A22" s="8"/>
      <c r="B22" s="8"/>
      <c r="C22" s="8"/>
      <c r="D22" s="8"/>
      <c r="E22" s="8"/>
      <c r="F22" s="8"/>
      <c r="G22" s="8"/>
      <c r="H22" s="8"/>
      <c r="I22" s="8"/>
      <c r="J22" s="8"/>
      <c r="K22" s="8"/>
      <c r="L22" s="8"/>
      <c r="M22" s="8"/>
      <c r="N22" s="8"/>
      <c r="O22" s="8"/>
      <c r="P22" s="8"/>
      <c r="Q22" s="8"/>
      <c r="R22" s="8"/>
      <c r="S22" s="8"/>
    </row>
    <row r="23" spans="1:20" x14ac:dyDescent="0.3">
      <c r="A23" s="8"/>
      <c r="B23" s="8"/>
      <c r="C23" s="8"/>
      <c r="D23" s="8"/>
      <c r="E23" s="8"/>
      <c r="F23" s="8"/>
      <c r="G23" s="8"/>
      <c r="H23" s="8"/>
      <c r="I23" s="8"/>
      <c r="J23" s="8"/>
      <c r="K23" s="8"/>
      <c r="L23" s="8"/>
      <c r="M23" s="8"/>
      <c r="N23" s="8"/>
      <c r="O23" s="8"/>
      <c r="P23" s="8"/>
      <c r="Q23" s="8"/>
      <c r="R23" s="8"/>
      <c r="S23" s="8"/>
    </row>
    <row r="24" spans="1:20" x14ac:dyDescent="0.3">
      <c r="A24" s="8"/>
      <c r="B24" s="8"/>
      <c r="C24" s="8"/>
      <c r="D24" s="8"/>
      <c r="E24" s="8"/>
      <c r="F24" s="8"/>
      <c r="G24" s="8"/>
      <c r="H24" s="8"/>
      <c r="I24" s="8"/>
      <c r="J24" s="8"/>
      <c r="K24" s="8"/>
      <c r="L24" s="8"/>
      <c r="M24" s="8"/>
      <c r="N24" s="8"/>
      <c r="O24" s="8"/>
      <c r="P24" s="8"/>
      <c r="Q24" s="8"/>
      <c r="R24" s="8"/>
      <c r="S24" s="8"/>
    </row>
    <row r="25" spans="1:20" x14ac:dyDescent="0.3">
      <c r="A25" s="8"/>
      <c r="B25" s="8"/>
      <c r="C25" s="8"/>
      <c r="D25" s="8"/>
      <c r="E25" s="8"/>
      <c r="F25" s="8"/>
      <c r="G25" s="8"/>
      <c r="H25" s="8"/>
      <c r="I25" s="8"/>
      <c r="J25" s="8"/>
      <c r="K25" s="8"/>
      <c r="L25" s="8"/>
      <c r="M25" s="8"/>
      <c r="N25" s="8"/>
      <c r="O25" s="8"/>
      <c r="P25" s="8"/>
      <c r="Q25" s="8"/>
      <c r="R25" s="8"/>
      <c r="S25" s="8"/>
    </row>
    <row r="26" spans="1:20" x14ac:dyDescent="0.3">
      <c r="A26" s="8"/>
      <c r="B26" s="8"/>
      <c r="C26" s="8"/>
      <c r="D26" s="8"/>
      <c r="E26" s="8"/>
      <c r="F26" s="8"/>
      <c r="G26" s="8"/>
      <c r="H26" s="8"/>
      <c r="I26" s="8"/>
      <c r="J26" s="8"/>
      <c r="K26" s="8"/>
      <c r="L26" s="8"/>
      <c r="M26" s="8"/>
      <c r="N26" s="8"/>
      <c r="O26" s="8"/>
      <c r="P26" s="8"/>
      <c r="Q26" s="8"/>
      <c r="R26" s="8"/>
      <c r="S26" s="8"/>
    </row>
    <row r="27" spans="1:20" x14ac:dyDescent="0.3">
      <c r="A27" s="8"/>
      <c r="B27" s="8"/>
      <c r="C27" s="8"/>
      <c r="D27" s="8"/>
      <c r="E27" s="8"/>
      <c r="F27" s="8"/>
      <c r="G27" s="8"/>
      <c r="H27" s="8"/>
      <c r="I27" s="8"/>
      <c r="J27" s="8"/>
      <c r="K27" s="8"/>
      <c r="L27" s="8"/>
      <c r="M27" s="8"/>
      <c r="N27" s="8"/>
      <c r="O27" s="8"/>
      <c r="P27" s="8"/>
      <c r="Q27" s="8"/>
      <c r="R27" s="8"/>
      <c r="S27" s="8"/>
    </row>
    <row r="28" spans="1:20" x14ac:dyDescent="0.3">
      <c r="A28" s="8"/>
      <c r="B28" s="8"/>
      <c r="C28" s="8"/>
      <c r="D28" s="8"/>
      <c r="E28" s="8"/>
      <c r="F28" s="8"/>
      <c r="G28" s="8"/>
      <c r="H28" s="8"/>
      <c r="I28" s="8"/>
      <c r="J28" s="8"/>
      <c r="K28" s="8"/>
      <c r="L28" s="8"/>
      <c r="M28" s="8"/>
      <c r="N28" s="8"/>
      <c r="O28" s="8"/>
      <c r="P28" s="8"/>
      <c r="Q28" s="8"/>
      <c r="R28" s="8"/>
      <c r="S28" s="8"/>
    </row>
    <row r="29" spans="1:20" x14ac:dyDescent="0.3">
      <c r="A29" s="8"/>
      <c r="B29" s="8"/>
      <c r="C29" s="8"/>
      <c r="D29" s="8"/>
      <c r="E29" s="8"/>
      <c r="F29" s="8"/>
      <c r="G29" s="8"/>
      <c r="H29" s="8"/>
      <c r="I29" s="8"/>
      <c r="J29" s="8"/>
      <c r="K29" s="8"/>
      <c r="L29" s="8"/>
      <c r="M29" s="8"/>
      <c r="N29" s="8"/>
      <c r="O29" s="8"/>
      <c r="P29" s="8"/>
      <c r="Q29" s="8"/>
      <c r="R29" s="8"/>
      <c r="S29" s="8"/>
    </row>
    <row r="30" spans="1:20" x14ac:dyDescent="0.3">
      <c r="A30" s="8"/>
      <c r="B30" s="8"/>
      <c r="C30" s="8"/>
      <c r="D30" s="8"/>
      <c r="E30" s="8"/>
      <c r="F30" s="8"/>
      <c r="G30" s="8"/>
      <c r="H30" s="8"/>
      <c r="I30" s="8"/>
      <c r="J30" s="8"/>
      <c r="K30" s="8"/>
      <c r="L30" s="8"/>
      <c r="M30" s="8"/>
      <c r="N30" s="8"/>
      <c r="O30" s="8"/>
      <c r="P30" s="8"/>
      <c r="Q30" s="8"/>
      <c r="R30" s="8"/>
      <c r="S30" s="8"/>
    </row>
    <row r="31" spans="1:20" ht="60" customHeight="1" x14ac:dyDescent="0.3">
      <c r="A31" s="8"/>
      <c r="B31" s="8"/>
      <c r="C31" s="8"/>
      <c r="D31" s="8"/>
      <c r="E31" s="8"/>
      <c r="F31" s="8"/>
      <c r="G31" s="8"/>
      <c r="H31" s="8"/>
      <c r="I31" s="8"/>
      <c r="J31" s="8"/>
      <c r="K31" s="8"/>
      <c r="L31" s="8"/>
      <c r="M31" s="8"/>
      <c r="N31" s="8"/>
      <c r="O31" s="8"/>
      <c r="P31" s="8"/>
      <c r="Q31" s="8"/>
      <c r="R31" s="8"/>
      <c r="S31" s="8"/>
    </row>
    <row r="32" spans="1:20" x14ac:dyDescent="0.3">
      <c r="A32" s="8"/>
      <c r="B32" s="8"/>
      <c r="C32" s="8"/>
      <c r="D32" s="8"/>
      <c r="E32" s="8"/>
      <c r="F32" s="8"/>
      <c r="G32" s="8"/>
      <c r="H32" s="8"/>
      <c r="I32" s="8"/>
      <c r="J32" s="8"/>
      <c r="K32" s="8"/>
      <c r="L32" s="8"/>
      <c r="M32" s="8"/>
      <c r="N32" s="8"/>
      <c r="O32" s="8"/>
      <c r="P32" s="8"/>
      <c r="Q32" s="8"/>
      <c r="R32" s="8"/>
      <c r="S32" s="8"/>
    </row>
    <row r="33" spans="1:19" x14ac:dyDescent="0.3">
      <c r="A33" s="8"/>
      <c r="B33" s="8"/>
      <c r="C33" s="8"/>
      <c r="D33" s="8"/>
      <c r="E33" s="8"/>
      <c r="F33" s="8"/>
      <c r="G33" s="8"/>
      <c r="H33" s="8"/>
      <c r="I33" s="8"/>
      <c r="J33" s="8"/>
      <c r="K33" s="8"/>
      <c r="L33" s="8"/>
      <c r="M33" s="8"/>
      <c r="N33" s="8"/>
      <c r="O33" s="8"/>
      <c r="P33" s="8"/>
      <c r="Q33" s="8"/>
      <c r="R33" s="8"/>
      <c r="S33" s="8"/>
    </row>
    <row r="34" spans="1:19" x14ac:dyDescent="0.3">
      <c r="A34" s="8"/>
      <c r="B34" s="8"/>
      <c r="C34" s="8"/>
      <c r="D34" s="8"/>
      <c r="E34" s="8"/>
      <c r="F34" s="8"/>
      <c r="G34" s="8"/>
      <c r="H34" s="8"/>
      <c r="I34" s="8"/>
      <c r="J34" s="8"/>
      <c r="K34" s="8"/>
      <c r="L34" s="8"/>
      <c r="M34" s="8"/>
      <c r="N34" s="8"/>
      <c r="O34" s="8"/>
      <c r="P34" s="8"/>
      <c r="Q34" s="8"/>
      <c r="R34" s="8"/>
      <c r="S34" s="8"/>
    </row>
    <row r="35" spans="1:19" x14ac:dyDescent="0.3">
      <c r="A35" s="8"/>
      <c r="B35" s="8"/>
      <c r="C35" s="8"/>
      <c r="D35" s="8"/>
      <c r="E35" s="8"/>
      <c r="F35" s="8"/>
      <c r="G35" s="8"/>
      <c r="H35" s="8"/>
      <c r="I35" s="8"/>
      <c r="J35" s="8"/>
      <c r="K35" s="8"/>
      <c r="L35" s="8"/>
      <c r="M35" s="8"/>
      <c r="N35" s="8"/>
      <c r="O35" s="8"/>
      <c r="P35" s="8"/>
      <c r="Q35" s="8"/>
      <c r="R35" s="8"/>
      <c r="S35" s="8"/>
    </row>
    <row r="36" spans="1:19" x14ac:dyDescent="0.3">
      <c r="A36" s="8"/>
      <c r="B36" s="8"/>
      <c r="C36" s="8"/>
      <c r="D36" s="8"/>
      <c r="E36" s="8"/>
      <c r="F36" s="8"/>
      <c r="G36" s="8"/>
      <c r="H36" s="8"/>
      <c r="I36" s="8"/>
      <c r="J36" s="8"/>
      <c r="K36" s="8"/>
      <c r="L36" s="8"/>
      <c r="M36" s="8"/>
      <c r="N36" s="8"/>
      <c r="O36" s="8"/>
      <c r="P36" s="8"/>
      <c r="Q36" s="8"/>
      <c r="R36" s="8"/>
      <c r="S36" s="8"/>
    </row>
    <row r="37" spans="1:19" x14ac:dyDescent="0.3">
      <c r="A37" s="8"/>
      <c r="B37" s="8"/>
      <c r="C37" s="8"/>
      <c r="D37" s="8"/>
      <c r="E37" s="8"/>
      <c r="F37" s="8"/>
      <c r="G37" s="8"/>
      <c r="H37" s="8"/>
      <c r="I37" s="8"/>
      <c r="J37" s="8"/>
      <c r="K37" s="8"/>
      <c r="L37" s="8"/>
      <c r="M37" s="8"/>
      <c r="N37" s="8"/>
      <c r="O37" s="8"/>
      <c r="P37" s="8"/>
      <c r="Q37" s="8"/>
      <c r="R37" s="8"/>
      <c r="S37" s="8"/>
    </row>
    <row r="38" spans="1:19" x14ac:dyDescent="0.3">
      <c r="A38" s="8"/>
      <c r="B38" s="8"/>
      <c r="C38" s="8"/>
      <c r="D38" s="8"/>
      <c r="E38" s="8"/>
      <c r="F38" s="8"/>
      <c r="G38" s="8"/>
      <c r="H38" s="8"/>
      <c r="I38" s="8"/>
      <c r="J38" s="8"/>
      <c r="K38" s="8"/>
      <c r="L38" s="8"/>
      <c r="M38" s="8"/>
      <c r="N38" s="8"/>
      <c r="O38" s="8"/>
      <c r="P38" s="8"/>
      <c r="Q38" s="8"/>
      <c r="R38" s="8"/>
      <c r="S38" s="8"/>
    </row>
    <row r="39" spans="1:19" x14ac:dyDescent="0.3">
      <c r="A39" s="8"/>
      <c r="B39" s="8"/>
      <c r="C39" s="8"/>
      <c r="D39" s="8"/>
      <c r="E39" s="8"/>
      <c r="F39" s="8"/>
      <c r="G39" s="8"/>
      <c r="H39" s="8"/>
      <c r="I39" s="8"/>
      <c r="J39" s="8"/>
      <c r="K39" s="8"/>
      <c r="L39" s="8"/>
      <c r="M39" s="8"/>
      <c r="N39" s="8"/>
      <c r="O39" s="8"/>
      <c r="P39" s="8"/>
      <c r="Q39" s="8"/>
      <c r="R39" s="8"/>
      <c r="S39" s="8"/>
    </row>
    <row r="40" spans="1:19" x14ac:dyDescent="0.3">
      <c r="A40" s="8"/>
      <c r="B40" s="8"/>
      <c r="C40" s="8"/>
      <c r="D40" s="8"/>
      <c r="E40" s="8"/>
      <c r="F40" s="8"/>
      <c r="G40" s="8"/>
      <c r="H40" s="8"/>
      <c r="I40" s="8"/>
      <c r="J40" s="8"/>
      <c r="K40" s="8"/>
      <c r="L40" s="8"/>
      <c r="M40" s="8"/>
      <c r="N40" s="8"/>
      <c r="O40" s="8"/>
      <c r="P40" s="8"/>
      <c r="Q40" s="8"/>
      <c r="R40" s="8"/>
      <c r="S40" s="8"/>
    </row>
    <row r="41" spans="1:19" x14ac:dyDescent="0.3">
      <c r="A41" s="8"/>
      <c r="B41" s="8"/>
      <c r="C41" s="8"/>
      <c r="D41" s="8"/>
      <c r="E41" s="8"/>
      <c r="F41" s="8"/>
      <c r="G41" s="8"/>
      <c r="H41" s="8"/>
      <c r="I41" s="8"/>
      <c r="J41" s="8"/>
      <c r="K41" s="8"/>
      <c r="L41" s="8"/>
      <c r="M41" s="8"/>
      <c r="N41" s="8"/>
      <c r="O41" s="8"/>
      <c r="P41" s="8"/>
      <c r="Q41" s="8"/>
      <c r="R41" s="8"/>
      <c r="S41" s="8"/>
    </row>
    <row r="42" spans="1:19" x14ac:dyDescent="0.3">
      <c r="A42" s="8"/>
      <c r="B42" s="8"/>
      <c r="C42" s="8"/>
      <c r="D42" s="8"/>
      <c r="E42" s="8"/>
      <c r="F42" s="8"/>
      <c r="G42" s="8"/>
      <c r="H42" s="8"/>
      <c r="I42" s="8"/>
      <c r="J42" s="8"/>
      <c r="K42" s="8"/>
      <c r="L42" s="8"/>
      <c r="M42" s="8"/>
      <c r="N42" s="8"/>
      <c r="O42" s="8"/>
      <c r="P42" s="8"/>
      <c r="Q42" s="8"/>
      <c r="R42" s="8"/>
      <c r="S42" s="8"/>
    </row>
    <row r="43" spans="1:19" x14ac:dyDescent="0.3">
      <c r="A43" s="8"/>
      <c r="B43" s="8"/>
      <c r="C43" s="8"/>
      <c r="D43" s="8"/>
      <c r="E43" s="8"/>
      <c r="F43" s="8"/>
      <c r="G43" s="8"/>
      <c r="H43" s="8"/>
      <c r="I43" s="8"/>
      <c r="J43" s="8"/>
      <c r="K43" s="8"/>
      <c r="L43" s="8"/>
      <c r="M43" s="8"/>
      <c r="N43" s="8"/>
      <c r="O43" s="8"/>
      <c r="P43" s="8"/>
      <c r="Q43" s="8"/>
      <c r="R43" s="8"/>
      <c r="S43" s="8"/>
    </row>
    <row r="44" spans="1:19" x14ac:dyDescent="0.3">
      <c r="A44" s="8"/>
      <c r="B44" s="8"/>
      <c r="C44" s="8"/>
      <c r="D44" s="8"/>
      <c r="E44" s="8"/>
      <c r="F44" s="8"/>
      <c r="G44" s="8"/>
      <c r="H44" s="8"/>
      <c r="I44" s="8"/>
      <c r="J44" s="8"/>
      <c r="K44" s="8"/>
      <c r="L44" s="8"/>
      <c r="M44" s="8"/>
      <c r="N44" s="8"/>
      <c r="O44" s="8"/>
      <c r="P44" s="8"/>
      <c r="Q44" s="8"/>
      <c r="R44" s="8"/>
      <c r="S4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8818-CF29-47F0-BD3A-ED85C1642D38}">
  <dimension ref="A3:B9"/>
  <sheetViews>
    <sheetView workbookViewId="0">
      <selection activeCell="L5" sqref="L5"/>
    </sheetView>
  </sheetViews>
  <sheetFormatPr defaultRowHeight="14.4" x14ac:dyDescent="0.3"/>
  <cols>
    <col min="1" max="1" width="14.21875" bestFit="1" customWidth="1"/>
    <col min="2" max="2" width="11.6640625" bestFit="1" customWidth="1"/>
  </cols>
  <sheetData>
    <row r="3" spans="1:2" x14ac:dyDescent="0.3">
      <c r="A3" s="3" t="s">
        <v>3</v>
      </c>
      <c r="B3" t="s">
        <v>1055</v>
      </c>
    </row>
    <row r="4" spans="1:2" x14ac:dyDescent="0.3">
      <c r="A4" s="4" t="s">
        <v>36</v>
      </c>
      <c r="B4" s="9">
        <v>8648475</v>
      </c>
    </row>
    <row r="5" spans="1:2" x14ac:dyDescent="0.3">
      <c r="A5" s="4" t="s">
        <v>20</v>
      </c>
      <c r="B5" s="9">
        <v>1817322.5</v>
      </c>
    </row>
    <row r="6" spans="1:2" x14ac:dyDescent="0.3">
      <c r="A6" s="4" t="s">
        <v>30</v>
      </c>
      <c r="B6" s="9">
        <v>410315</v>
      </c>
    </row>
    <row r="7" spans="1:2" x14ac:dyDescent="0.3">
      <c r="A7" s="4" t="s">
        <v>14</v>
      </c>
      <c r="B7" s="9">
        <v>18927710</v>
      </c>
    </row>
    <row r="8" spans="1:2" x14ac:dyDescent="0.3">
      <c r="A8" s="4" t="s">
        <v>90</v>
      </c>
      <c r="B8" s="9">
        <v>91620</v>
      </c>
    </row>
    <row r="9" spans="1:2" x14ac:dyDescent="0.3">
      <c r="A9" s="4" t="s">
        <v>1042</v>
      </c>
      <c r="B9" s="9">
        <v>29895442.5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4745-01FC-4DBA-9E67-D20E859F6C40}">
  <dimension ref="A3:B14"/>
  <sheetViews>
    <sheetView workbookViewId="0">
      <selection activeCell="H22" sqref="H22"/>
    </sheetView>
  </sheetViews>
  <sheetFormatPr defaultRowHeight="14.4" x14ac:dyDescent="0.3"/>
  <cols>
    <col min="1" max="1" width="12.33203125" bestFit="1" customWidth="1"/>
    <col min="2" max="2" width="12.109375" bestFit="1" customWidth="1"/>
  </cols>
  <sheetData>
    <row r="3" spans="1:2" x14ac:dyDescent="0.3">
      <c r="A3" s="3" t="s">
        <v>4</v>
      </c>
      <c r="B3" t="s">
        <v>1056</v>
      </c>
    </row>
    <row r="4" spans="1:2" x14ac:dyDescent="0.3">
      <c r="A4" s="4" t="s">
        <v>51</v>
      </c>
      <c r="B4" s="9">
        <v>75942.360000000015</v>
      </c>
    </row>
    <row r="5" spans="1:2" x14ac:dyDescent="0.3">
      <c r="A5" s="4" t="s">
        <v>15</v>
      </c>
      <c r="B5" s="9">
        <v>81727.079999999987</v>
      </c>
    </row>
    <row r="6" spans="1:2" x14ac:dyDescent="0.3">
      <c r="A6" s="4" t="s">
        <v>39</v>
      </c>
      <c r="B6" s="9">
        <v>168859.77000000005</v>
      </c>
    </row>
    <row r="7" spans="1:2" x14ac:dyDescent="0.3">
      <c r="A7" s="4" t="s">
        <v>84</v>
      </c>
      <c r="B7" s="9">
        <v>191299.05</v>
      </c>
    </row>
    <row r="8" spans="1:2" x14ac:dyDescent="0.3">
      <c r="A8" s="4" t="s">
        <v>25</v>
      </c>
      <c r="B8" s="9">
        <v>192671.13</v>
      </c>
    </row>
    <row r="9" spans="1:2" x14ac:dyDescent="0.3">
      <c r="A9" s="4" t="s">
        <v>54</v>
      </c>
      <c r="B9" s="9">
        <v>521140.01000000007</v>
      </c>
    </row>
    <row r="10" spans="1:2" x14ac:dyDescent="0.3">
      <c r="A10" s="4" t="s">
        <v>105</v>
      </c>
      <c r="B10" s="9">
        <v>532730.28999999992</v>
      </c>
    </row>
    <row r="11" spans="1:2" x14ac:dyDescent="0.3">
      <c r="A11" s="4" t="s">
        <v>91</v>
      </c>
      <c r="B11" s="9">
        <v>582299.80000000016</v>
      </c>
    </row>
    <row r="12" spans="1:2" x14ac:dyDescent="0.3">
      <c r="A12" s="4" t="s">
        <v>37</v>
      </c>
      <c r="B12" s="9">
        <v>1114600.1199999996</v>
      </c>
    </row>
    <row r="13" spans="1:2" x14ac:dyDescent="0.3">
      <c r="A13" s="4" t="s">
        <v>43</v>
      </c>
      <c r="B13" s="9">
        <v>3689613.4699999993</v>
      </c>
    </row>
    <row r="14" spans="1:2" x14ac:dyDescent="0.3">
      <c r="A14" s="4" t="s">
        <v>1042</v>
      </c>
      <c r="B14" s="9">
        <v>7150883.0799999991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F814-2B66-4C86-A50E-C000349ECF60}">
  <dimension ref="A1:D4"/>
  <sheetViews>
    <sheetView topLeftCell="B1" workbookViewId="0">
      <selection activeCell="D13" sqref="D13"/>
    </sheetView>
  </sheetViews>
  <sheetFormatPr defaultRowHeight="14.4" x14ac:dyDescent="0.3"/>
  <cols>
    <col min="1" max="1" width="13.88671875" bestFit="1" customWidth="1"/>
    <col min="2" max="2" width="12.33203125" bestFit="1" customWidth="1"/>
    <col min="3" max="3" width="14.88671875" bestFit="1" customWidth="1"/>
    <col min="4" max="4" width="16.44140625" bestFit="1" customWidth="1"/>
  </cols>
  <sheetData>
    <row r="1" spans="1:4" x14ac:dyDescent="0.3">
      <c r="C1" s="6"/>
    </row>
    <row r="2" spans="1:4" x14ac:dyDescent="0.3">
      <c r="C2" s="6"/>
    </row>
    <row r="3" spans="1:4" x14ac:dyDescent="0.3">
      <c r="A3" t="s">
        <v>1055</v>
      </c>
      <c r="B3" t="s">
        <v>1056</v>
      </c>
      <c r="C3" t="s">
        <v>1057</v>
      </c>
      <c r="D3" t="s">
        <v>1058</v>
      </c>
    </row>
    <row r="4" spans="1:4" x14ac:dyDescent="0.3">
      <c r="A4" s="5">
        <v>29895442.5</v>
      </c>
      <c r="B4" s="5">
        <v>7347327.5600000042</v>
      </c>
      <c r="C4" s="7">
        <v>5188</v>
      </c>
      <c r="D4" s="9">
        <v>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96F7-B2D2-45D8-AC61-0CF85C6E4BE3}">
  <dimension ref="A1:L996"/>
  <sheetViews>
    <sheetView topLeftCell="A2" workbookViewId="0">
      <selection activeCell="A3" sqref="A3"/>
    </sheetView>
  </sheetViews>
  <sheetFormatPr defaultRowHeight="14.4" x14ac:dyDescent="0.3"/>
  <cols>
    <col min="1" max="1" width="10.44140625" customWidth="1"/>
    <col min="2" max="2" width="13.21875" customWidth="1"/>
    <col min="4" max="4" width="10.44140625" customWidth="1"/>
    <col min="5" max="5" width="9.5546875" customWidth="1"/>
    <col min="6" max="6" width="10.21875" customWidth="1"/>
    <col min="7" max="7" width="11.5546875" customWidth="1"/>
    <col min="9" max="9" width="10.21875" customWidth="1"/>
    <col min="10" max="10" width="10.33203125" bestFit="1" customWidth="1"/>
    <col min="11" max="11" width="15" customWidth="1"/>
    <col min="12" max="12" width="19.44140625" customWidth="1"/>
  </cols>
  <sheetData>
    <row r="1" spans="1:12" x14ac:dyDescent="0.3">
      <c r="A1" t="s">
        <v>0</v>
      </c>
      <c r="B1" t="s">
        <v>1</v>
      </c>
      <c r="C1" t="s">
        <v>2</v>
      </c>
      <c r="D1" t="s">
        <v>3</v>
      </c>
      <c r="E1" t="s">
        <v>4</v>
      </c>
      <c r="F1" t="s">
        <v>5</v>
      </c>
      <c r="G1" t="s">
        <v>6</v>
      </c>
      <c r="H1" t="s">
        <v>7</v>
      </c>
      <c r="I1" t="s">
        <v>8</v>
      </c>
      <c r="J1" s="2" t="s">
        <v>9</v>
      </c>
      <c r="K1" t="s">
        <v>10</v>
      </c>
      <c r="L1" t="s">
        <v>11</v>
      </c>
    </row>
    <row r="2" spans="1:12" x14ac:dyDescent="0.3">
      <c r="A2" t="s">
        <v>12</v>
      </c>
      <c r="B2" s="1">
        <v>45772</v>
      </c>
      <c r="C2" t="s">
        <v>13</v>
      </c>
      <c r="D2" t="s">
        <v>14</v>
      </c>
      <c r="E2" t="s">
        <v>15</v>
      </c>
      <c r="F2">
        <v>9</v>
      </c>
      <c r="G2">
        <v>1200</v>
      </c>
      <c r="H2">
        <v>9180</v>
      </c>
      <c r="I2">
        <v>0.15</v>
      </c>
      <c r="J2" s="2">
        <v>1352.77</v>
      </c>
      <c r="K2" t="s">
        <v>16</v>
      </c>
      <c r="L2" t="s">
        <v>17</v>
      </c>
    </row>
    <row r="3" spans="1:12" x14ac:dyDescent="0.3">
      <c r="A3" t="s">
        <v>18</v>
      </c>
      <c r="B3" s="1">
        <v>45714</v>
      </c>
      <c r="C3" t="s">
        <v>19</v>
      </c>
      <c r="D3" t="s">
        <v>20</v>
      </c>
      <c r="E3" t="s">
        <v>21</v>
      </c>
      <c r="F3">
        <v>10</v>
      </c>
      <c r="G3">
        <v>650</v>
      </c>
      <c r="H3">
        <v>5850</v>
      </c>
      <c r="I3">
        <v>0.1</v>
      </c>
      <c r="J3">
        <v>1853.92</v>
      </c>
      <c r="K3" t="s">
        <v>22</v>
      </c>
      <c r="L3" t="s">
        <v>23</v>
      </c>
    </row>
    <row r="4" spans="1:12" x14ac:dyDescent="0.3">
      <c r="A4" t="s">
        <v>24</v>
      </c>
      <c r="B4" s="1">
        <v>45836</v>
      </c>
      <c r="C4" t="s">
        <v>19</v>
      </c>
      <c r="D4" t="s">
        <v>14</v>
      </c>
      <c r="E4" t="s">
        <v>25</v>
      </c>
      <c r="F4">
        <v>8</v>
      </c>
      <c r="G4">
        <v>3200</v>
      </c>
      <c r="H4">
        <v>20480</v>
      </c>
      <c r="I4">
        <v>0.2</v>
      </c>
      <c r="J4">
        <v>4228.0200000000004</v>
      </c>
      <c r="K4" t="s">
        <v>26</v>
      </c>
      <c r="L4" t="s">
        <v>17</v>
      </c>
    </row>
    <row r="5" spans="1:12" x14ac:dyDescent="0.3">
      <c r="A5" t="s">
        <v>27</v>
      </c>
      <c r="B5" s="1">
        <v>45892</v>
      </c>
      <c r="C5" t="s">
        <v>28</v>
      </c>
      <c r="D5" t="s">
        <v>14</v>
      </c>
      <c r="E5" t="s">
        <v>25</v>
      </c>
      <c r="F5">
        <v>6</v>
      </c>
      <c r="G5">
        <v>3200</v>
      </c>
      <c r="H5">
        <v>19200</v>
      </c>
      <c r="I5">
        <v>0</v>
      </c>
      <c r="J5">
        <v>5750.18</v>
      </c>
      <c r="K5" t="s">
        <v>16</v>
      </c>
      <c r="L5" t="s">
        <v>17</v>
      </c>
    </row>
    <row r="6" spans="1:12" x14ac:dyDescent="0.3">
      <c r="A6" t="s">
        <v>29</v>
      </c>
      <c r="B6" s="1">
        <v>45957</v>
      </c>
      <c r="C6" t="s">
        <v>13</v>
      </c>
      <c r="D6" t="s">
        <v>30</v>
      </c>
      <c r="E6" t="s">
        <v>31</v>
      </c>
      <c r="F6">
        <v>6</v>
      </c>
      <c r="G6">
        <v>120</v>
      </c>
      <c r="H6">
        <v>684</v>
      </c>
      <c r="I6">
        <v>0.05</v>
      </c>
      <c r="J6">
        <v>198.37</v>
      </c>
      <c r="K6" t="s">
        <v>26</v>
      </c>
      <c r="L6" t="s">
        <v>32</v>
      </c>
    </row>
    <row r="7" spans="1:12" x14ac:dyDescent="0.3">
      <c r="A7" t="s">
        <v>33</v>
      </c>
      <c r="B7" s="1">
        <v>45903</v>
      </c>
      <c r="C7" t="s">
        <v>13</v>
      </c>
      <c r="D7" t="s">
        <v>20</v>
      </c>
      <c r="E7" t="s">
        <v>21</v>
      </c>
      <c r="F7">
        <v>7</v>
      </c>
      <c r="G7">
        <v>650</v>
      </c>
      <c r="H7">
        <v>3867.5</v>
      </c>
      <c r="I7">
        <v>0.15</v>
      </c>
      <c r="J7">
        <v>1047.26</v>
      </c>
      <c r="K7" t="s">
        <v>16</v>
      </c>
      <c r="L7" t="s">
        <v>32</v>
      </c>
    </row>
    <row r="8" spans="1:12" x14ac:dyDescent="0.3">
      <c r="A8" t="s">
        <v>34</v>
      </c>
      <c r="B8" s="1">
        <v>45976</v>
      </c>
      <c r="C8" t="s">
        <v>35</v>
      </c>
      <c r="D8" t="s">
        <v>36</v>
      </c>
      <c r="E8" t="s">
        <v>37</v>
      </c>
      <c r="F8">
        <v>1</v>
      </c>
      <c r="G8">
        <v>12000</v>
      </c>
      <c r="H8">
        <v>9600</v>
      </c>
      <c r="I8">
        <v>0.2</v>
      </c>
      <c r="J8">
        <v>1304.78</v>
      </c>
      <c r="K8" t="s">
        <v>26</v>
      </c>
      <c r="L8" t="s">
        <v>32</v>
      </c>
    </row>
    <row r="9" spans="1:12" x14ac:dyDescent="0.3">
      <c r="A9" t="s">
        <v>38</v>
      </c>
      <c r="B9" s="1">
        <v>45937</v>
      </c>
      <c r="C9" t="s">
        <v>19</v>
      </c>
      <c r="D9" t="s">
        <v>20</v>
      </c>
      <c r="E9" t="s">
        <v>39</v>
      </c>
      <c r="F9">
        <v>2</v>
      </c>
      <c r="G9">
        <v>2800</v>
      </c>
      <c r="H9">
        <v>4480</v>
      </c>
      <c r="I9">
        <v>0.2</v>
      </c>
      <c r="J9">
        <v>340.53</v>
      </c>
      <c r="K9" t="s">
        <v>16</v>
      </c>
      <c r="L9" t="s">
        <v>23</v>
      </c>
    </row>
    <row r="10" spans="1:12" x14ac:dyDescent="0.3">
      <c r="A10" t="s">
        <v>40</v>
      </c>
      <c r="B10" s="1">
        <v>45879</v>
      </c>
      <c r="C10" t="s">
        <v>28</v>
      </c>
      <c r="D10" t="s">
        <v>30</v>
      </c>
      <c r="E10" t="s">
        <v>41</v>
      </c>
      <c r="F10">
        <v>9</v>
      </c>
      <c r="G10">
        <v>600</v>
      </c>
      <c r="H10">
        <v>4320</v>
      </c>
      <c r="I10">
        <v>0.2</v>
      </c>
      <c r="J10">
        <v>651.77</v>
      </c>
      <c r="K10" t="s">
        <v>26</v>
      </c>
      <c r="L10" t="s">
        <v>23</v>
      </c>
    </row>
    <row r="11" spans="1:12" x14ac:dyDescent="0.3">
      <c r="A11" t="s">
        <v>42</v>
      </c>
      <c r="B11" s="1">
        <v>45925</v>
      </c>
      <c r="C11" t="s">
        <v>35</v>
      </c>
      <c r="D11" t="s">
        <v>14</v>
      </c>
      <c r="E11" t="s">
        <v>43</v>
      </c>
      <c r="F11">
        <v>3</v>
      </c>
      <c r="G11">
        <v>65000</v>
      </c>
      <c r="H11">
        <v>156000</v>
      </c>
      <c r="I11">
        <v>0.2</v>
      </c>
      <c r="J11">
        <v>2310.5100000000002</v>
      </c>
      <c r="K11" t="s">
        <v>26</v>
      </c>
      <c r="L11" t="s">
        <v>32</v>
      </c>
    </row>
    <row r="12" spans="1:12" x14ac:dyDescent="0.3">
      <c r="A12" t="s">
        <v>44</v>
      </c>
      <c r="B12" s="1">
        <v>45880</v>
      </c>
      <c r="C12" t="s">
        <v>13</v>
      </c>
      <c r="D12" t="s">
        <v>30</v>
      </c>
      <c r="E12" t="s">
        <v>45</v>
      </c>
      <c r="F12">
        <v>8</v>
      </c>
      <c r="G12">
        <v>180</v>
      </c>
      <c r="H12">
        <v>1224</v>
      </c>
      <c r="I12">
        <v>0.15</v>
      </c>
      <c r="J12">
        <v>133.91</v>
      </c>
      <c r="K12" t="s">
        <v>16</v>
      </c>
      <c r="L12" t="s">
        <v>32</v>
      </c>
    </row>
    <row r="13" spans="1:12" x14ac:dyDescent="0.3">
      <c r="A13" t="s">
        <v>46</v>
      </c>
      <c r="B13" s="1">
        <v>45921</v>
      </c>
      <c r="C13" t="s">
        <v>19</v>
      </c>
      <c r="D13" t="s">
        <v>30</v>
      </c>
      <c r="E13" t="s">
        <v>47</v>
      </c>
      <c r="F13">
        <v>8</v>
      </c>
      <c r="G13">
        <v>450</v>
      </c>
      <c r="H13">
        <v>3600</v>
      </c>
      <c r="I13">
        <v>0</v>
      </c>
      <c r="J13">
        <v>1193.83</v>
      </c>
      <c r="K13" t="s">
        <v>26</v>
      </c>
      <c r="L13" t="s">
        <v>32</v>
      </c>
    </row>
    <row r="14" spans="1:12" x14ac:dyDescent="0.3">
      <c r="A14" t="s">
        <v>48</v>
      </c>
      <c r="B14" s="1">
        <v>45707</v>
      </c>
      <c r="C14" t="s">
        <v>28</v>
      </c>
      <c r="D14" t="s">
        <v>20</v>
      </c>
      <c r="E14" t="s">
        <v>21</v>
      </c>
      <c r="F14">
        <v>2</v>
      </c>
      <c r="G14">
        <v>650</v>
      </c>
      <c r="H14">
        <v>1040</v>
      </c>
      <c r="I14">
        <v>0.2</v>
      </c>
      <c r="J14">
        <v>231.47</v>
      </c>
      <c r="K14" t="s">
        <v>16</v>
      </c>
      <c r="L14" t="s">
        <v>23</v>
      </c>
    </row>
    <row r="15" spans="1:12" x14ac:dyDescent="0.3">
      <c r="A15" t="s">
        <v>49</v>
      </c>
      <c r="B15" s="1">
        <v>45700</v>
      </c>
      <c r="C15" t="s">
        <v>13</v>
      </c>
      <c r="D15" t="s">
        <v>36</v>
      </c>
      <c r="E15" t="s">
        <v>37</v>
      </c>
      <c r="F15">
        <v>1</v>
      </c>
      <c r="G15">
        <v>1800</v>
      </c>
      <c r="H15">
        <v>1800</v>
      </c>
      <c r="I15">
        <v>0</v>
      </c>
      <c r="J15">
        <v>809.9</v>
      </c>
      <c r="K15" t="s">
        <v>22</v>
      </c>
      <c r="L15" t="s">
        <v>32</v>
      </c>
    </row>
    <row r="16" spans="1:12" x14ac:dyDescent="0.3">
      <c r="A16" t="s">
        <v>50</v>
      </c>
      <c r="B16" s="1">
        <v>45983</v>
      </c>
      <c r="C16" t="s">
        <v>19</v>
      </c>
      <c r="D16" t="s">
        <v>14</v>
      </c>
      <c r="E16" t="s">
        <v>51</v>
      </c>
      <c r="F16">
        <v>1</v>
      </c>
      <c r="G16">
        <v>2500</v>
      </c>
      <c r="H16">
        <v>2125</v>
      </c>
      <c r="I16">
        <v>0.15</v>
      </c>
      <c r="J16">
        <v>104.45</v>
      </c>
      <c r="K16" t="s">
        <v>22</v>
      </c>
      <c r="L16" t="s">
        <v>32</v>
      </c>
    </row>
    <row r="17" spans="1:12" x14ac:dyDescent="0.3">
      <c r="A17" t="s">
        <v>52</v>
      </c>
      <c r="B17" s="1">
        <v>45937</v>
      </c>
      <c r="C17" t="s">
        <v>28</v>
      </c>
      <c r="D17" t="s">
        <v>30</v>
      </c>
      <c r="E17" t="s">
        <v>41</v>
      </c>
      <c r="F17">
        <v>10</v>
      </c>
      <c r="G17">
        <v>600</v>
      </c>
      <c r="H17">
        <v>5400</v>
      </c>
      <c r="I17">
        <v>0.1</v>
      </c>
      <c r="J17">
        <v>982.59</v>
      </c>
      <c r="K17" t="s">
        <v>26</v>
      </c>
      <c r="L17" t="s">
        <v>17</v>
      </c>
    </row>
    <row r="18" spans="1:12" x14ac:dyDescent="0.3">
      <c r="A18" t="s">
        <v>53</v>
      </c>
      <c r="B18" s="1">
        <v>45958</v>
      </c>
      <c r="C18" t="s">
        <v>19</v>
      </c>
      <c r="D18" t="s">
        <v>36</v>
      </c>
      <c r="E18" t="s">
        <v>54</v>
      </c>
      <c r="F18">
        <v>2</v>
      </c>
      <c r="G18">
        <v>7000</v>
      </c>
      <c r="H18">
        <v>12600</v>
      </c>
      <c r="I18">
        <v>0.1</v>
      </c>
      <c r="J18">
        <v>2372.86</v>
      </c>
      <c r="K18" t="s">
        <v>16</v>
      </c>
      <c r="L18" t="s">
        <v>23</v>
      </c>
    </row>
    <row r="19" spans="1:12" x14ac:dyDescent="0.3">
      <c r="A19" t="s">
        <v>55</v>
      </c>
      <c r="B19" s="1">
        <v>45857</v>
      </c>
      <c r="C19" t="s">
        <v>56</v>
      </c>
      <c r="D19" t="s">
        <v>20</v>
      </c>
      <c r="E19" t="s">
        <v>39</v>
      </c>
      <c r="F19">
        <v>9</v>
      </c>
      <c r="G19">
        <v>2800</v>
      </c>
      <c r="H19">
        <v>25200</v>
      </c>
      <c r="I19">
        <v>0</v>
      </c>
      <c r="J19">
        <v>8781.65</v>
      </c>
      <c r="K19" t="s">
        <v>22</v>
      </c>
      <c r="L19" t="s">
        <v>23</v>
      </c>
    </row>
    <row r="20" spans="1:12" x14ac:dyDescent="0.3">
      <c r="A20" t="s">
        <v>57</v>
      </c>
      <c r="B20" s="1">
        <v>45888</v>
      </c>
      <c r="C20" t="s">
        <v>19</v>
      </c>
      <c r="D20" t="s">
        <v>30</v>
      </c>
      <c r="E20" t="s">
        <v>31</v>
      </c>
      <c r="F20">
        <v>1</v>
      </c>
      <c r="G20">
        <v>120</v>
      </c>
      <c r="H20">
        <v>102</v>
      </c>
      <c r="I20">
        <v>0.15</v>
      </c>
      <c r="J20">
        <v>20.58</v>
      </c>
      <c r="K20" t="s">
        <v>22</v>
      </c>
      <c r="L20" t="s">
        <v>23</v>
      </c>
    </row>
    <row r="21" spans="1:12" x14ac:dyDescent="0.3">
      <c r="A21" t="s">
        <v>58</v>
      </c>
      <c r="B21" s="1">
        <v>45830</v>
      </c>
      <c r="C21" t="s">
        <v>35</v>
      </c>
      <c r="D21" t="s">
        <v>20</v>
      </c>
      <c r="E21" t="s">
        <v>39</v>
      </c>
      <c r="F21">
        <v>3</v>
      </c>
      <c r="G21">
        <v>2800</v>
      </c>
      <c r="H21">
        <v>7140</v>
      </c>
      <c r="I21">
        <v>0.15</v>
      </c>
      <c r="J21">
        <v>1341.52</v>
      </c>
      <c r="K21" t="s">
        <v>16</v>
      </c>
      <c r="L21" t="s">
        <v>32</v>
      </c>
    </row>
    <row r="22" spans="1:12" x14ac:dyDescent="0.3">
      <c r="A22" t="s">
        <v>59</v>
      </c>
      <c r="B22" s="1">
        <v>45681</v>
      </c>
      <c r="C22" t="s">
        <v>13</v>
      </c>
      <c r="D22" t="s">
        <v>14</v>
      </c>
      <c r="E22" t="s">
        <v>51</v>
      </c>
      <c r="F22">
        <v>7</v>
      </c>
      <c r="G22">
        <v>2500</v>
      </c>
      <c r="H22">
        <v>17500</v>
      </c>
      <c r="I22">
        <v>0</v>
      </c>
      <c r="J22">
        <v>6951.29</v>
      </c>
      <c r="K22" t="s">
        <v>22</v>
      </c>
      <c r="L22" t="s">
        <v>23</v>
      </c>
    </row>
    <row r="23" spans="1:12" x14ac:dyDescent="0.3">
      <c r="A23" t="s">
        <v>60</v>
      </c>
      <c r="B23" s="1">
        <v>45922</v>
      </c>
      <c r="C23" t="s">
        <v>28</v>
      </c>
      <c r="D23" t="s">
        <v>36</v>
      </c>
      <c r="E23" t="s">
        <v>37</v>
      </c>
      <c r="F23">
        <v>1</v>
      </c>
      <c r="G23">
        <v>1800</v>
      </c>
      <c r="H23">
        <v>1800</v>
      </c>
      <c r="I23">
        <v>0</v>
      </c>
      <c r="J23">
        <v>496.21</v>
      </c>
      <c r="K23" t="s">
        <v>22</v>
      </c>
      <c r="L23" t="s">
        <v>17</v>
      </c>
    </row>
    <row r="24" spans="1:12" x14ac:dyDescent="0.3">
      <c r="A24" t="s">
        <v>61</v>
      </c>
      <c r="B24" s="1">
        <v>45854</v>
      </c>
      <c r="C24" t="s">
        <v>19</v>
      </c>
      <c r="D24" t="s">
        <v>36</v>
      </c>
      <c r="E24" t="s">
        <v>37</v>
      </c>
      <c r="F24">
        <v>5</v>
      </c>
      <c r="G24">
        <v>1800</v>
      </c>
      <c r="H24">
        <v>8100</v>
      </c>
      <c r="I24">
        <v>0.1</v>
      </c>
      <c r="J24">
        <v>1854.78</v>
      </c>
      <c r="K24" t="s">
        <v>22</v>
      </c>
      <c r="L24" t="s">
        <v>23</v>
      </c>
    </row>
    <row r="25" spans="1:12" x14ac:dyDescent="0.3">
      <c r="A25" t="s">
        <v>62</v>
      </c>
      <c r="B25" s="1">
        <v>45805</v>
      </c>
      <c r="C25" t="s">
        <v>35</v>
      </c>
      <c r="D25" t="s">
        <v>36</v>
      </c>
      <c r="E25" t="s">
        <v>54</v>
      </c>
      <c r="F25">
        <v>8</v>
      </c>
      <c r="G25">
        <v>7000</v>
      </c>
      <c r="H25">
        <v>50400</v>
      </c>
      <c r="I25">
        <v>0.1</v>
      </c>
      <c r="J25">
        <v>4491.4399999999996</v>
      </c>
      <c r="K25" t="s">
        <v>22</v>
      </c>
      <c r="L25" t="s">
        <v>23</v>
      </c>
    </row>
    <row r="26" spans="1:12" x14ac:dyDescent="0.3">
      <c r="A26" t="s">
        <v>63</v>
      </c>
      <c r="B26" s="1">
        <v>45706</v>
      </c>
      <c r="C26" t="s">
        <v>28</v>
      </c>
      <c r="D26" t="s">
        <v>20</v>
      </c>
      <c r="E26" t="s">
        <v>21</v>
      </c>
      <c r="F26">
        <v>2</v>
      </c>
      <c r="G26">
        <v>650</v>
      </c>
      <c r="H26">
        <v>1105</v>
      </c>
      <c r="I26">
        <v>0.15</v>
      </c>
      <c r="J26">
        <v>110.39</v>
      </c>
      <c r="K26" t="s">
        <v>22</v>
      </c>
      <c r="L26" t="s">
        <v>32</v>
      </c>
    </row>
    <row r="27" spans="1:12" x14ac:dyDescent="0.3">
      <c r="A27" t="s">
        <v>64</v>
      </c>
      <c r="B27" s="1">
        <v>46001</v>
      </c>
      <c r="C27" t="s">
        <v>28</v>
      </c>
      <c r="D27" t="s">
        <v>14</v>
      </c>
      <c r="E27" t="s">
        <v>65</v>
      </c>
      <c r="F27">
        <v>6</v>
      </c>
      <c r="G27">
        <v>700</v>
      </c>
      <c r="H27">
        <v>3780</v>
      </c>
      <c r="I27">
        <v>0.1</v>
      </c>
      <c r="J27">
        <v>851.9</v>
      </c>
      <c r="K27" t="s">
        <v>22</v>
      </c>
      <c r="L27" t="s">
        <v>23</v>
      </c>
    </row>
    <row r="28" spans="1:12" x14ac:dyDescent="0.3">
      <c r="A28" t="s">
        <v>66</v>
      </c>
      <c r="B28" s="1">
        <v>45714</v>
      </c>
      <c r="C28" t="s">
        <v>13</v>
      </c>
      <c r="D28" t="s">
        <v>36</v>
      </c>
      <c r="E28" t="s">
        <v>54</v>
      </c>
      <c r="F28">
        <v>9</v>
      </c>
      <c r="G28">
        <v>7000</v>
      </c>
      <c r="H28">
        <v>50400</v>
      </c>
      <c r="I28">
        <v>0.2</v>
      </c>
      <c r="J28">
        <v>6014.63</v>
      </c>
      <c r="K28" t="s">
        <v>16</v>
      </c>
      <c r="L28" t="s">
        <v>23</v>
      </c>
    </row>
    <row r="29" spans="1:12" x14ac:dyDescent="0.3">
      <c r="A29" t="s">
        <v>67</v>
      </c>
      <c r="B29" s="1">
        <v>45793</v>
      </c>
      <c r="C29" t="s">
        <v>56</v>
      </c>
      <c r="D29" t="s">
        <v>36</v>
      </c>
      <c r="E29" t="s">
        <v>54</v>
      </c>
      <c r="F29">
        <v>10</v>
      </c>
      <c r="G29">
        <v>7000</v>
      </c>
      <c r="H29">
        <v>66500</v>
      </c>
      <c r="I29">
        <v>0.05</v>
      </c>
      <c r="J29">
        <v>15331.19</v>
      </c>
      <c r="K29" t="s">
        <v>26</v>
      </c>
      <c r="L29" t="s">
        <v>32</v>
      </c>
    </row>
    <row r="30" spans="1:12" x14ac:dyDescent="0.3">
      <c r="A30" t="s">
        <v>68</v>
      </c>
      <c r="B30" s="1">
        <v>45980</v>
      </c>
      <c r="C30" t="s">
        <v>56</v>
      </c>
      <c r="D30" t="s">
        <v>14</v>
      </c>
      <c r="E30" t="s">
        <v>25</v>
      </c>
      <c r="F30">
        <v>1</v>
      </c>
      <c r="G30">
        <v>3200</v>
      </c>
      <c r="H30">
        <v>3040</v>
      </c>
      <c r="I30">
        <v>0.05</v>
      </c>
      <c r="J30">
        <v>655.88</v>
      </c>
      <c r="K30" t="s">
        <v>16</v>
      </c>
      <c r="L30" t="s">
        <v>23</v>
      </c>
    </row>
    <row r="31" spans="1:12" x14ac:dyDescent="0.3">
      <c r="A31" t="s">
        <v>69</v>
      </c>
      <c r="B31" s="1">
        <v>45789</v>
      </c>
      <c r="C31" t="s">
        <v>56</v>
      </c>
      <c r="D31" t="s">
        <v>30</v>
      </c>
      <c r="E31" t="s">
        <v>41</v>
      </c>
      <c r="F31">
        <v>2</v>
      </c>
      <c r="G31">
        <v>600</v>
      </c>
      <c r="H31">
        <v>1140</v>
      </c>
      <c r="I31">
        <v>0.05</v>
      </c>
      <c r="J31">
        <v>178.09</v>
      </c>
      <c r="K31" t="s">
        <v>22</v>
      </c>
      <c r="L31" t="s">
        <v>23</v>
      </c>
    </row>
    <row r="32" spans="1:12" x14ac:dyDescent="0.3">
      <c r="A32" t="s">
        <v>70</v>
      </c>
      <c r="B32" s="1">
        <v>45864</v>
      </c>
      <c r="C32" t="s">
        <v>19</v>
      </c>
      <c r="D32" t="s">
        <v>30</v>
      </c>
      <c r="E32" t="s">
        <v>45</v>
      </c>
      <c r="F32">
        <v>10</v>
      </c>
      <c r="G32">
        <v>180</v>
      </c>
      <c r="H32">
        <v>1440</v>
      </c>
      <c r="I32">
        <v>0.2</v>
      </c>
      <c r="J32">
        <v>131.81</v>
      </c>
      <c r="K32" t="s">
        <v>16</v>
      </c>
      <c r="L32" t="s">
        <v>32</v>
      </c>
    </row>
    <row r="33" spans="1:12" x14ac:dyDescent="0.3">
      <c r="A33" t="s">
        <v>71</v>
      </c>
      <c r="B33" s="1">
        <v>45786</v>
      </c>
      <c r="C33" t="s">
        <v>35</v>
      </c>
      <c r="D33" t="s">
        <v>20</v>
      </c>
      <c r="E33" t="s">
        <v>21</v>
      </c>
      <c r="F33">
        <v>2</v>
      </c>
      <c r="G33">
        <v>650</v>
      </c>
      <c r="H33">
        <v>1040</v>
      </c>
      <c r="I33">
        <v>0.2</v>
      </c>
      <c r="J33">
        <v>193.67</v>
      </c>
      <c r="K33" t="s">
        <v>26</v>
      </c>
      <c r="L33" t="s">
        <v>23</v>
      </c>
    </row>
    <row r="34" spans="1:12" x14ac:dyDescent="0.3">
      <c r="A34" t="s">
        <v>72</v>
      </c>
      <c r="B34" s="1">
        <v>45720</v>
      </c>
      <c r="C34" t="s">
        <v>19</v>
      </c>
      <c r="D34" t="s">
        <v>14</v>
      </c>
      <c r="E34" t="s">
        <v>25</v>
      </c>
      <c r="F34">
        <v>7</v>
      </c>
      <c r="G34">
        <v>3200</v>
      </c>
      <c r="H34">
        <v>22400</v>
      </c>
      <c r="I34">
        <v>0</v>
      </c>
      <c r="J34">
        <v>8377.91</v>
      </c>
      <c r="K34" t="s">
        <v>26</v>
      </c>
      <c r="L34" t="s">
        <v>23</v>
      </c>
    </row>
    <row r="35" spans="1:12" x14ac:dyDescent="0.3">
      <c r="A35" t="s">
        <v>73</v>
      </c>
      <c r="B35" s="1">
        <v>45715</v>
      </c>
      <c r="C35" t="s">
        <v>28</v>
      </c>
      <c r="D35" t="s">
        <v>14</v>
      </c>
      <c r="E35" t="s">
        <v>51</v>
      </c>
      <c r="F35">
        <v>6</v>
      </c>
      <c r="G35">
        <v>2500</v>
      </c>
      <c r="H35">
        <v>15000</v>
      </c>
      <c r="I35">
        <v>0</v>
      </c>
      <c r="J35">
        <v>4478.51</v>
      </c>
      <c r="K35" t="s">
        <v>16</v>
      </c>
      <c r="L35" t="s">
        <v>32</v>
      </c>
    </row>
    <row r="36" spans="1:12" x14ac:dyDescent="0.3">
      <c r="A36" t="s">
        <v>74</v>
      </c>
      <c r="B36" s="1">
        <v>45993</v>
      </c>
      <c r="C36" t="s">
        <v>19</v>
      </c>
      <c r="D36" t="s">
        <v>14</v>
      </c>
      <c r="E36" t="s">
        <v>43</v>
      </c>
      <c r="F36">
        <v>3</v>
      </c>
      <c r="G36">
        <v>65000</v>
      </c>
      <c r="H36">
        <v>165750</v>
      </c>
      <c r="I36">
        <v>0.15</v>
      </c>
      <c r="J36">
        <v>39859.760000000002</v>
      </c>
      <c r="K36" t="s">
        <v>22</v>
      </c>
      <c r="L36" t="s">
        <v>23</v>
      </c>
    </row>
    <row r="37" spans="1:12" x14ac:dyDescent="0.3">
      <c r="A37" t="s">
        <v>75</v>
      </c>
      <c r="B37" s="1">
        <v>45997</v>
      </c>
      <c r="C37" t="s">
        <v>28</v>
      </c>
      <c r="D37" t="s">
        <v>36</v>
      </c>
      <c r="E37" t="s">
        <v>54</v>
      </c>
      <c r="F37">
        <v>7</v>
      </c>
      <c r="G37">
        <v>7000</v>
      </c>
      <c r="H37">
        <v>44100</v>
      </c>
      <c r="I37">
        <v>0.1</v>
      </c>
      <c r="J37">
        <v>12159.88</v>
      </c>
      <c r="K37" t="s">
        <v>22</v>
      </c>
      <c r="L37" t="s">
        <v>32</v>
      </c>
    </row>
    <row r="38" spans="1:12" x14ac:dyDescent="0.3">
      <c r="A38" t="s">
        <v>76</v>
      </c>
      <c r="B38" s="1">
        <v>45733</v>
      </c>
      <c r="C38" t="s">
        <v>28</v>
      </c>
      <c r="D38" t="s">
        <v>14</v>
      </c>
      <c r="E38" t="s">
        <v>25</v>
      </c>
      <c r="F38">
        <v>9</v>
      </c>
      <c r="G38">
        <v>3200</v>
      </c>
      <c r="H38">
        <v>23040</v>
      </c>
      <c r="I38">
        <v>0.2</v>
      </c>
      <c r="J38">
        <v>2885.11</v>
      </c>
      <c r="K38" t="s">
        <v>22</v>
      </c>
      <c r="L38" t="s">
        <v>32</v>
      </c>
    </row>
    <row r="39" spans="1:12" x14ac:dyDescent="0.3">
      <c r="A39" t="s">
        <v>77</v>
      </c>
      <c r="B39" s="1">
        <v>45978</v>
      </c>
      <c r="C39" t="s">
        <v>13</v>
      </c>
      <c r="D39" t="s">
        <v>30</v>
      </c>
      <c r="E39" t="s">
        <v>41</v>
      </c>
      <c r="F39">
        <v>8</v>
      </c>
      <c r="G39">
        <v>600</v>
      </c>
      <c r="H39">
        <v>4320</v>
      </c>
      <c r="I39">
        <v>0.1</v>
      </c>
      <c r="J39">
        <v>1338.09</v>
      </c>
      <c r="K39" t="s">
        <v>22</v>
      </c>
      <c r="L39" t="s">
        <v>32</v>
      </c>
    </row>
    <row r="40" spans="1:12" x14ac:dyDescent="0.3">
      <c r="A40" t="s">
        <v>78</v>
      </c>
      <c r="B40" s="1">
        <v>45820</v>
      </c>
      <c r="C40" t="s">
        <v>56</v>
      </c>
      <c r="D40" t="s">
        <v>14</v>
      </c>
      <c r="E40" t="s">
        <v>25</v>
      </c>
      <c r="F40">
        <v>9</v>
      </c>
      <c r="G40">
        <v>3200</v>
      </c>
      <c r="H40">
        <v>27360</v>
      </c>
      <c r="I40">
        <v>0.05</v>
      </c>
      <c r="J40">
        <v>8870.6200000000008</v>
      </c>
      <c r="K40" t="s">
        <v>16</v>
      </c>
      <c r="L40" t="s">
        <v>32</v>
      </c>
    </row>
    <row r="41" spans="1:12" x14ac:dyDescent="0.3">
      <c r="A41" t="s">
        <v>79</v>
      </c>
      <c r="B41" s="1">
        <v>45862</v>
      </c>
      <c r="C41" t="s">
        <v>19</v>
      </c>
      <c r="D41" t="s">
        <v>36</v>
      </c>
      <c r="E41" t="s">
        <v>37</v>
      </c>
      <c r="F41">
        <v>1</v>
      </c>
      <c r="G41">
        <v>1800</v>
      </c>
      <c r="H41">
        <v>1800</v>
      </c>
      <c r="I41">
        <v>0</v>
      </c>
      <c r="J41">
        <v>479.94</v>
      </c>
      <c r="K41" t="s">
        <v>22</v>
      </c>
      <c r="L41" t="s">
        <v>17</v>
      </c>
    </row>
    <row r="42" spans="1:12" x14ac:dyDescent="0.3">
      <c r="A42" t="s">
        <v>80</v>
      </c>
      <c r="B42" s="1">
        <v>45938</v>
      </c>
      <c r="C42" t="s">
        <v>35</v>
      </c>
      <c r="D42" t="s">
        <v>30</v>
      </c>
      <c r="E42" t="s">
        <v>47</v>
      </c>
      <c r="F42">
        <v>4</v>
      </c>
      <c r="G42">
        <v>450</v>
      </c>
      <c r="H42">
        <v>1710</v>
      </c>
      <c r="I42">
        <v>0.05</v>
      </c>
      <c r="J42">
        <v>545.47</v>
      </c>
      <c r="K42" t="s">
        <v>16</v>
      </c>
      <c r="L42" t="s">
        <v>17</v>
      </c>
    </row>
    <row r="43" spans="1:12" x14ac:dyDescent="0.3">
      <c r="A43" t="s">
        <v>81</v>
      </c>
      <c r="B43" s="1">
        <v>45660</v>
      </c>
      <c r="C43" t="s">
        <v>19</v>
      </c>
      <c r="D43" t="s">
        <v>30</v>
      </c>
      <c r="E43" t="s">
        <v>82</v>
      </c>
      <c r="F43">
        <v>3</v>
      </c>
      <c r="G43">
        <v>250</v>
      </c>
      <c r="H43">
        <v>600</v>
      </c>
      <c r="I43">
        <v>0.2</v>
      </c>
      <c r="J43">
        <v>104.37</v>
      </c>
      <c r="K43" t="s">
        <v>16</v>
      </c>
      <c r="L43" t="s">
        <v>17</v>
      </c>
    </row>
    <row r="44" spans="1:12" x14ac:dyDescent="0.3">
      <c r="A44" t="s">
        <v>83</v>
      </c>
      <c r="B44" s="1">
        <v>45793</v>
      </c>
      <c r="C44" t="s">
        <v>28</v>
      </c>
      <c r="D44" t="s">
        <v>20</v>
      </c>
      <c r="E44" t="s">
        <v>84</v>
      </c>
      <c r="F44">
        <v>3</v>
      </c>
      <c r="G44">
        <v>3200</v>
      </c>
      <c r="H44">
        <v>9600</v>
      </c>
      <c r="I44">
        <v>0</v>
      </c>
      <c r="J44">
        <v>3544.9</v>
      </c>
      <c r="K44" t="s">
        <v>16</v>
      </c>
      <c r="L44" t="s">
        <v>17</v>
      </c>
    </row>
    <row r="45" spans="1:12" x14ac:dyDescent="0.3">
      <c r="A45" t="s">
        <v>85</v>
      </c>
      <c r="B45" s="1">
        <v>45815</v>
      </c>
      <c r="C45" t="s">
        <v>13</v>
      </c>
      <c r="D45" t="s">
        <v>14</v>
      </c>
      <c r="E45" t="s">
        <v>43</v>
      </c>
      <c r="F45">
        <v>9</v>
      </c>
      <c r="G45">
        <v>65000</v>
      </c>
      <c r="H45">
        <v>585000</v>
      </c>
      <c r="I45">
        <v>0</v>
      </c>
      <c r="J45">
        <v>129022.26</v>
      </c>
      <c r="K45" t="s">
        <v>22</v>
      </c>
      <c r="L45" t="s">
        <v>23</v>
      </c>
    </row>
    <row r="46" spans="1:12" x14ac:dyDescent="0.3">
      <c r="A46" t="s">
        <v>86</v>
      </c>
      <c r="B46" s="1">
        <v>45828</v>
      </c>
      <c r="C46" t="s">
        <v>13</v>
      </c>
      <c r="D46" t="s">
        <v>20</v>
      </c>
      <c r="E46" t="s">
        <v>39</v>
      </c>
      <c r="F46">
        <v>9</v>
      </c>
      <c r="G46">
        <v>2800</v>
      </c>
      <c r="H46">
        <v>25200</v>
      </c>
      <c r="I46">
        <v>0</v>
      </c>
      <c r="J46">
        <v>10758.01</v>
      </c>
      <c r="K46" t="s">
        <v>26</v>
      </c>
      <c r="L46" t="s">
        <v>23</v>
      </c>
    </row>
    <row r="47" spans="1:12" x14ac:dyDescent="0.3">
      <c r="A47" t="s">
        <v>87</v>
      </c>
      <c r="B47" s="1">
        <v>45807</v>
      </c>
      <c r="C47" t="s">
        <v>19</v>
      </c>
      <c r="D47" t="s">
        <v>14</v>
      </c>
      <c r="E47" t="s">
        <v>25</v>
      </c>
      <c r="F47">
        <v>10</v>
      </c>
      <c r="G47">
        <v>3200</v>
      </c>
      <c r="H47">
        <v>25600</v>
      </c>
      <c r="I47">
        <v>0.2</v>
      </c>
      <c r="J47">
        <v>1198.21</v>
      </c>
      <c r="K47" t="s">
        <v>16</v>
      </c>
      <c r="L47" t="s">
        <v>23</v>
      </c>
    </row>
    <row r="48" spans="1:12" x14ac:dyDescent="0.3">
      <c r="A48" t="s">
        <v>88</v>
      </c>
      <c r="B48" s="1">
        <v>45968</v>
      </c>
      <c r="C48" t="s">
        <v>35</v>
      </c>
      <c r="D48" t="s">
        <v>30</v>
      </c>
      <c r="E48" t="s">
        <v>82</v>
      </c>
      <c r="F48">
        <v>7</v>
      </c>
      <c r="G48">
        <v>250</v>
      </c>
      <c r="H48">
        <v>1750</v>
      </c>
      <c r="I48">
        <v>0</v>
      </c>
      <c r="J48">
        <v>326.27999999999997</v>
      </c>
      <c r="K48" t="s">
        <v>26</v>
      </c>
      <c r="L48" t="s">
        <v>23</v>
      </c>
    </row>
    <row r="49" spans="1:12" x14ac:dyDescent="0.3">
      <c r="A49" t="s">
        <v>89</v>
      </c>
      <c r="B49" s="1">
        <v>45717</v>
      </c>
      <c r="C49" t="s">
        <v>90</v>
      </c>
      <c r="D49" t="s">
        <v>36</v>
      </c>
      <c r="E49" t="s">
        <v>91</v>
      </c>
      <c r="F49">
        <v>3</v>
      </c>
      <c r="G49">
        <v>8500</v>
      </c>
      <c r="H49">
        <v>24225</v>
      </c>
      <c r="I49">
        <v>0.05</v>
      </c>
      <c r="J49">
        <v>6488.32</v>
      </c>
      <c r="K49" t="s">
        <v>16</v>
      </c>
      <c r="L49" t="s">
        <v>17</v>
      </c>
    </row>
    <row r="50" spans="1:12" x14ac:dyDescent="0.3">
      <c r="A50" t="s">
        <v>92</v>
      </c>
      <c r="B50" s="1">
        <v>45964</v>
      </c>
      <c r="C50" t="s">
        <v>13</v>
      </c>
      <c r="D50" t="s">
        <v>14</v>
      </c>
      <c r="E50" t="s">
        <v>15</v>
      </c>
      <c r="F50">
        <v>2</v>
      </c>
      <c r="G50">
        <v>1200</v>
      </c>
      <c r="H50">
        <v>2280</v>
      </c>
      <c r="I50">
        <v>0.05</v>
      </c>
      <c r="J50">
        <v>763.88</v>
      </c>
      <c r="K50" t="s">
        <v>22</v>
      </c>
      <c r="L50" t="s">
        <v>32</v>
      </c>
    </row>
    <row r="51" spans="1:12" x14ac:dyDescent="0.3">
      <c r="A51" t="s">
        <v>93</v>
      </c>
      <c r="B51" s="1">
        <v>45853</v>
      </c>
      <c r="C51" t="s">
        <v>19</v>
      </c>
      <c r="D51" t="s">
        <v>14</v>
      </c>
      <c r="E51" t="s">
        <v>15</v>
      </c>
      <c r="F51">
        <v>8</v>
      </c>
      <c r="G51">
        <v>1200</v>
      </c>
      <c r="H51">
        <v>9600</v>
      </c>
      <c r="I51">
        <v>0</v>
      </c>
      <c r="J51">
        <v>2054.65</v>
      </c>
      <c r="K51" t="s">
        <v>16</v>
      </c>
      <c r="L51" t="s">
        <v>23</v>
      </c>
    </row>
    <row r="52" spans="1:12" x14ac:dyDescent="0.3">
      <c r="A52" t="s">
        <v>94</v>
      </c>
      <c r="B52" s="1">
        <v>45841</v>
      </c>
      <c r="C52" t="s">
        <v>35</v>
      </c>
      <c r="D52" t="s">
        <v>14</v>
      </c>
      <c r="E52" t="s">
        <v>15</v>
      </c>
      <c r="F52">
        <v>8</v>
      </c>
      <c r="G52">
        <v>1200</v>
      </c>
      <c r="H52">
        <v>8640</v>
      </c>
      <c r="I52">
        <v>0.1</v>
      </c>
      <c r="J52">
        <v>3046.53</v>
      </c>
      <c r="K52" t="s">
        <v>16</v>
      </c>
      <c r="L52" t="s">
        <v>23</v>
      </c>
    </row>
    <row r="53" spans="1:12" x14ac:dyDescent="0.3">
      <c r="A53" t="s">
        <v>95</v>
      </c>
      <c r="B53" s="1">
        <v>45996</v>
      </c>
      <c r="C53" t="s">
        <v>28</v>
      </c>
      <c r="D53" t="s">
        <v>14</v>
      </c>
      <c r="E53" t="s">
        <v>43</v>
      </c>
      <c r="F53">
        <v>2</v>
      </c>
      <c r="G53">
        <v>65000</v>
      </c>
      <c r="H53">
        <v>117000</v>
      </c>
      <c r="I53">
        <v>0.1</v>
      </c>
      <c r="J53">
        <v>18193.560000000001</v>
      </c>
      <c r="K53" t="s">
        <v>22</v>
      </c>
      <c r="L53" t="s">
        <v>23</v>
      </c>
    </row>
    <row r="54" spans="1:12" x14ac:dyDescent="0.3">
      <c r="A54" t="s">
        <v>96</v>
      </c>
      <c r="B54" s="1">
        <v>45818</v>
      </c>
      <c r="C54" t="s">
        <v>28</v>
      </c>
      <c r="D54" t="s">
        <v>20</v>
      </c>
      <c r="E54" t="s">
        <v>97</v>
      </c>
      <c r="F54">
        <v>6</v>
      </c>
      <c r="G54">
        <v>400</v>
      </c>
      <c r="H54">
        <v>1920</v>
      </c>
      <c r="I54">
        <v>0.2</v>
      </c>
      <c r="J54">
        <v>174.23</v>
      </c>
      <c r="K54" t="s">
        <v>22</v>
      </c>
      <c r="L54" t="s">
        <v>23</v>
      </c>
    </row>
    <row r="55" spans="1:12" x14ac:dyDescent="0.3">
      <c r="A55" t="s">
        <v>98</v>
      </c>
      <c r="B55" s="1">
        <v>45766</v>
      </c>
      <c r="C55" t="s">
        <v>28</v>
      </c>
      <c r="D55" t="s">
        <v>36</v>
      </c>
      <c r="E55" t="s">
        <v>54</v>
      </c>
      <c r="F55">
        <v>6</v>
      </c>
      <c r="G55">
        <v>7000</v>
      </c>
      <c r="H55">
        <v>37800</v>
      </c>
      <c r="I55">
        <v>0.1</v>
      </c>
      <c r="J55">
        <v>5269.42</v>
      </c>
      <c r="K55" t="s">
        <v>26</v>
      </c>
      <c r="L55" t="s">
        <v>17</v>
      </c>
    </row>
    <row r="56" spans="1:12" x14ac:dyDescent="0.3">
      <c r="A56" t="s">
        <v>99</v>
      </c>
      <c r="B56" s="1">
        <v>45885</v>
      </c>
      <c r="C56" t="s">
        <v>19</v>
      </c>
      <c r="D56" t="s">
        <v>36</v>
      </c>
      <c r="E56" t="s">
        <v>37</v>
      </c>
      <c r="F56">
        <v>5</v>
      </c>
      <c r="G56">
        <v>1800</v>
      </c>
      <c r="H56">
        <v>8550</v>
      </c>
      <c r="I56">
        <v>0.05</v>
      </c>
      <c r="J56">
        <v>1569.38</v>
      </c>
      <c r="K56" t="s">
        <v>22</v>
      </c>
      <c r="L56" t="s">
        <v>17</v>
      </c>
    </row>
    <row r="57" spans="1:12" x14ac:dyDescent="0.3">
      <c r="A57" t="s">
        <v>100</v>
      </c>
      <c r="B57" s="1">
        <v>45808</v>
      </c>
      <c r="C57" t="s">
        <v>13</v>
      </c>
      <c r="D57" t="s">
        <v>30</v>
      </c>
      <c r="E57" t="s">
        <v>82</v>
      </c>
      <c r="F57">
        <v>6</v>
      </c>
      <c r="G57">
        <v>250</v>
      </c>
      <c r="H57">
        <v>1500</v>
      </c>
      <c r="I57">
        <v>0</v>
      </c>
      <c r="J57">
        <v>447.67</v>
      </c>
      <c r="K57" t="s">
        <v>26</v>
      </c>
      <c r="L57" t="s">
        <v>17</v>
      </c>
    </row>
    <row r="58" spans="1:12" x14ac:dyDescent="0.3">
      <c r="A58" t="s">
        <v>101</v>
      </c>
      <c r="B58" s="1">
        <v>45830</v>
      </c>
      <c r="C58" t="s">
        <v>56</v>
      </c>
      <c r="D58" t="s">
        <v>20</v>
      </c>
      <c r="E58" t="s">
        <v>21</v>
      </c>
      <c r="F58">
        <v>1</v>
      </c>
      <c r="G58">
        <v>650</v>
      </c>
      <c r="H58">
        <v>552.5</v>
      </c>
      <c r="I58">
        <v>0.15</v>
      </c>
      <c r="J58">
        <v>69.260000000000005</v>
      </c>
      <c r="K58" t="s">
        <v>16</v>
      </c>
      <c r="L58" t="s">
        <v>23</v>
      </c>
    </row>
    <row r="59" spans="1:12" x14ac:dyDescent="0.3">
      <c r="A59" t="s">
        <v>102</v>
      </c>
      <c r="B59" s="1">
        <v>45746</v>
      </c>
      <c r="C59" t="s">
        <v>56</v>
      </c>
      <c r="D59" t="s">
        <v>36</v>
      </c>
      <c r="E59" t="s">
        <v>37</v>
      </c>
      <c r="F59">
        <v>6</v>
      </c>
      <c r="G59">
        <v>1800</v>
      </c>
      <c r="H59">
        <v>8640</v>
      </c>
      <c r="I59">
        <v>0.2</v>
      </c>
      <c r="J59">
        <v>1736.42</v>
      </c>
      <c r="K59" t="s">
        <v>26</v>
      </c>
      <c r="L59" t="s">
        <v>17</v>
      </c>
    </row>
    <row r="60" spans="1:12" x14ac:dyDescent="0.3">
      <c r="A60" t="s">
        <v>103</v>
      </c>
      <c r="B60" s="1">
        <v>45901</v>
      </c>
      <c r="C60" t="s">
        <v>35</v>
      </c>
      <c r="D60" t="s">
        <v>30</v>
      </c>
      <c r="E60" t="s">
        <v>82</v>
      </c>
      <c r="F60">
        <v>6</v>
      </c>
      <c r="G60">
        <v>250</v>
      </c>
      <c r="H60">
        <v>1275</v>
      </c>
      <c r="I60">
        <v>0.15</v>
      </c>
      <c r="J60">
        <v>189.03</v>
      </c>
      <c r="K60" t="s">
        <v>26</v>
      </c>
      <c r="L60" t="s">
        <v>32</v>
      </c>
    </row>
    <row r="61" spans="1:12" x14ac:dyDescent="0.3">
      <c r="A61" t="s">
        <v>104</v>
      </c>
      <c r="B61" s="1">
        <v>45667</v>
      </c>
      <c r="C61" t="s">
        <v>28</v>
      </c>
      <c r="D61" t="s">
        <v>14</v>
      </c>
      <c r="E61" t="s">
        <v>105</v>
      </c>
      <c r="F61">
        <v>2</v>
      </c>
      <c r="G61">
        <v>14000</v>
      </c>
      <c r="H61">
        <v>22400</v>
      </c>
      <c r="I61">
        <v>0.2</v>
      </c>
      <c r="J61">
        <v>559.69000000000005</v>
      </c>
      <c r="K61" t="s">
        <v>26</v>
      </c>
      <c r="L61" t="s">
        <v>17</v>
      </c>
    </row>
    <row r="62" spans="1:12" x14ac:dyDescent="0.3">
      <c r="A62" t="s">
        <v>106</v>
      </c>
      <c r="B62" s="1">
        <v>45663</v>
      </c>
      <c r="C62" t="s">
        <v>56</v>
      </c>
      <c r="D62" t="s">
        <v>30</v>
      </c>
      <c r="E62" t="s">
        <v>41</v>
      </c>
      <c r="F62">
        <v>6</v>
      </c>
      <c r="G62">
        <v>600</v>
      </c>
      <c r="H62">
        <v>3600</v>
      </c>
      <c r="I62">
        <v>0</v>
      </c>
      <c r="J62">
        <v>1079.8</v>
      </c>
      <c r="K62" t="s">
        <v>22</v>
      </c>
      <c r="L62" t="s">
        <v>23</v>
      </c>
    </row>
    <row r="63" spans="1:12" x14ac:dyDescent="0.3">
      <c r="A63" t="s">
        <v>107</v>
      </c>
      <c r="B63" s="1">
        <v>45701</v>
      </c>
      <c r="C63" t="s">
        <v>13</v>
      </c>
      <c r="D63" t="s">
        <v>36</v>
      </c>
      <c r="E63" t="s">
        <v>37</v>
      </c>
      <c r="F63">
        <v>4</v>
      </c>
      <c r="G63">
        <v>1800</v>
      </c>
      <c r="H63">
        <v>6120</v>
      </c>
      <c r="I63">
        <v>0.15</v>
      </c>
      <c r="J63">
        <v>851.41</v>
      </c>
      <c r="K63" t="s">
        <v>26</v>
      </c>
      <c r="L63" t="s">
        <v>17</v>
      </c>
    </row>
    <row r="64" spans="1:12" x14ac:dyDescent="0.3">
      <c r="A64" t="s">
        <v>108</v>
      </c>
      <c r="B64" s="1">
        <v>45920</v>
      </c>
      <c r="C64" t="s">
        <v>28</v>
      </c>
      <c r="D64" t="s">
        <v>36</v>
      </c>
      <c r="E64" t="s">
        <v>91</v>
      </c>
      <c r="F64">
        <v>1</v>
      </c>
      <c r="G64">
        <v>8500</v>
      </c>
      <c r="H64">
        <v>8075</v>
      </c>
      <c r="I64">
        <v>0.05</v>
      </c>
      <c r="J64">
        <v>-535.49</v>
      </c>
      <c r="K64" t="s">
        <v>26</v>
      </c>
      <c r="L64" t="s">
        <v>17</v>
      </c>
    </row>
    <row r="65" spans="1:12" x14ac:dyDescent="0.3">
      <c r="A65" t="s">
        <v>109</v>
      </c>
      <c r="B65" s="1">
        <v>45896</v>
      </c>
      <c r="C65" t="s">
        <v>28</v>
      </c>
      <c r="D65" t="s">
        <v>20</v>
      </c>
      <c r="E65" t="s">
        <v>39</v>
      </c>
      <c r="F65">
        <v>1</v>
      </c>
      <c r="G65">
        <v>2800</v>
      </c>
      <c r="H65">
        <v>2520</v>
      </c>
      <c r="I65">
        <v>0.1</v>
      </c>
      <c r="J65">
        <v>368.43</v>
      </c>
      <c r="K65" t="s">
        <v>26</v>
      </c>
      <c r="L65" t="s">
        <v>23</v>
      </c>
    </row>
    <row r="66" spans="1:12" x14ac:dyDescent="0.3">
      <c r="A66" t="s">
        <v>110</v>
      </c>
      <c r="B66" s="1">
        <v>45691</v>
      </c>
      <c r="C66" t="s">
        <v>13</v>
      </c>
      <c r="D66" t="s">
        <v>20</v>
      </c>
      <c r="E66" t="s">
        <v>97</v>
      </c>
      <c r="F66">
        <v>4</v>
      </c>
      <c r="G66">
        <v>400</v>
      </c>
      <c r="H66">
        <v>1360</v>
      </c>
      <c r="I66">
        <v>0.15</v>
      </c>
      <c r="J66">
        <v>456.59</v>
      </c>
      <c r="K66" t="s">
        <v>16</v>
      </c>
      <c r="L66" t="s">
        <v>17</v>
      </c>
    </row>
    <row r="67" spans="1:12" x14ac:dyDescent="0.3">
      <c r="A67" t="s">
        <v>111</v>
      </c>
      <c r="B67" s="1">
        <v>45963</v>
      </c>
      <c r="C67" t="s">
        <v>19</v>
      </c>
      <c r="D67" t="s">
        <v>30</v>
      </c>
      <c r="E67" t="s">
        <v>45</v>
      </c>
      <c r="F67">
        <v>10</v>
      </c>
      <c r="G67">
        <v>180</v>
      </c>
      <c r="H67">
        <v>1800</v>
      </c>
      <c r="I67">
        <v>0</v>
      </c>
      <c r="J67">
        <v>395.42</v>
      </c>
      <c r="K67" t="s">
        <v>26</v>
      </c>
      <c r="L67" t="s">
        <v>23</v>
      </c>
    </row>
    <row r="68" spans="1:12" x14ac:dyDescent="0.3">
      <c r="A68" t="s">
        <v>112</v>
      </c>
      <c r="B68" s="1">
        <v>45747</v>
      </c>
      <c r="C68" t="s">
        <v>19</v>
      </c>
      <c r="D68" t="s">
        <v>30</v>
      </c>
      <c r="E68" t="s">
        <v>47</v>
      </c>
      <c r="F68">
        <v>3</v>
      </c>
      <c r="G68">
        <v>450</v>
      </c>
      <c r="H68">
        <v>1350</v>
      </c>
      <c r="I68">
        <v>0</v>
      </c>
      <c r="J68">
        <v>247.06</v>
      </c>
      <c r="K68" t="s">
        <v>16</v>
      </c>
      <c r="L68" t="s">
        <v>17</v>
      </c>
    </row>
    <row r="69" spans="1:12" x14ac:dyDescent="0.3">
      <c r="A69" t="s">
        <v>113</v>
      </c>
      <c r="B69" s="1">
        <v>45877</v>
      </c>
      <c r="C69" t="s">
        <v>13</v>
      </c>
      <c r="D69" t="s">
        <v>20</v>
      </c>
      <c r="E69" t="s">
        <v>84</v>
      </c>
      <c r="F69">
        <v>10</v>
      </c>
      <c r="G69">
        <v>3200</v>
      </c>
      <c r="H69">
        <v>32000</v>
      </c>
      <c r="I69">
        <v>0</v>
      </c>
      <c r="J69">
        <v>14150.51</v>
      </c>
      <c r="K69" t="s">
        <v>16</v>
      </c>
      <c r="L69" t="s">
        <v>32</v>
      </c>
    </row>
    <row r="70" spans="1:12" x14ac:dyDescent="0.3">
      <c r="A70" t="s">
        <v>114</v>
      </c>
      <c r="B70" s="1">
        <v>45824</v>
      </c>
      <c r="C70" t="s">
        <v>19</v>
      </c>
      <c r="D70" t="s">
        <v>36</v>
      </c>
      <c r="E70" t="s">
        <v>54</v>
      </c>
      <c r="F70">
        <v>8</v>
      </c>
      <c r="G70">
        <v>7000</v>
      </c>
      <c r="H70">
        <v>56000</v>
      </c>
      <c r="I70">
        <v>0</v>
      </c>
      <c r="J70">
        <v>16749.62</v>
      </c>
      <c r="K70" t="s">
        <v>16</v>
      </c>
      <c r="L70" t="s">
        <v>23</v>
      </c>
    </row>
    <row r="71" spans="1:12" x14ac:dyDescent="0.3">
      <c r="A71" t="s">
        <v>115</v>
      </c>
      <c r="B71" s="1">
        <v>45731</v>
      </c>
      <c r="C71" t="s">
        <v>28</v>
      </c>
      <c r="D71" t="s">
        <v>36</v>
      </c>
      <c r="E71" t="s">
        <v>37</v>
      </c>
      <c r="F71">
        <v>10</v>
      </c>
      <c r="G71">
        <v>12000</v>
      </c>
      <c r="H71">
        <v>102000</v>
      </c>
      <c r="I71">
        <v>0.15</v>
      </c>
      <c r="J71">
        <v>13163.9</v>
      </c>
      <c r="K71" t="s">
        <v>16</v>
      </c>
      <c r="L71" t="s">
        <v>17</v>
      </c>
    </row>
    <row r="72" spans="1:12" x14ac:dyDescent="0.3">
      <c r="A72" t="s">
        <v>116</v>
      </c>
      <c r="B72" s="1">
        <v>45749</v>
      </c>
      <c r="C72" t="s">
        <v>28</v>
      </c>
      <c r="D72" t="s">
        <v>14</v>
      </c>
      <c r="E72" t="s">
        <v>25</v>
      </c>
      <c r="F72">
        <v>1</v>
      </c>
      <c r="G72">
        <v>3200</v>
      </c>
      <c r="H72">
        <v>3040</v>
      </c>
      <c r="I72">
        <v>0.05</v>
      </c>
      <c r="J72">
        <v>597.86</v>
      </c>
      <c r="K72" t="s">
        <v>26</v>
      </c>
      <c r="L72" t="s">
        <v>17</v>
      </c>
    </row>
    <row r="73" spans="1:12" x14ac:dyDescent="0.3">
      <c r="A73" t="s">
        <v>117</v>
      </c>
      <c r="B73" s="1">
        <v>45753</v>
      </c>
      <c r="C73" t="s">
        <v>28</v>
      </c>
      <c r="D73" t="s">
        <v>30</v>
      </c>
      <c r="E73" t="s">
        <v>82</v>
      </c>
      <c r="F73">
        <v>8</v>
      </c>
      <c r="G73">
        <v>250</v>
      </c>
      <c r="H73">
        <v>2000</v>
      </c>
      <c r="I73">
        <v>0</v>
      </c>
      <c r="J73">
        <v>799.25</v>
      </c>
      <c r="K73" t="s">
        <v>26</v>
      </c>
      <c r="L73" t="s">
        <v>17</v>
      </c>
    </row>
    <row r="74" spans="1:12" x14ac:dyDescent="0.3">
      <c r="A74" t="s">
        <v>118</v>
      </c>
      <c r="B74" s="1">
        <v>45705</v>
      </c>
      <c r="C74" t="s">
        <v>35</v>
      </c>
      <c r="D74" t="s">
        <v>20</v>
      </c>
      <c r="E74" t="s">
        <v>84</v>
      </c>
      <c r="F74">
        <v>5</v>
      </c>
      <c r="G74">
        <v>3200</v>
      </c>
      <c r="H74">
        <v>16000</v>
      </c>
      <c r="I74">
        <v>0</v>
      </c>
      <c r="J74">
        <v>4977.03</v>
      </c>
      <c r="K74" t="s">
        <v>16</v>
      </c>
      <c r="L74" t="s">
        <v>17</v>
      </c>
    </row>
    <row r="75" spans="1:12" x14ac:dyDescent="0.3">
      <c r="A75" t="s">
        <v>119</v>
      </c>
      <c r="B75" s="1">
        <v>45706</v>
      </c>
      <c r="C75" t="s">
        <v>19</v>
      </c>
      <c r="D75" t="s">
        <v>20</v>
      </c>
      <c r="E75" t="s">
        <v>39</v>
      </c>
      <c r="F75">
        <v>6</v>
      </c>
      <c r="G75">
        <v>2800</v>
      </c>
      <c r="H75">
        <v>16800</v>
      </c>
      <c r="I75">
        <v>0</v>
      </c>
      <c r="J75">
        <v>-451.36</v>
      </c>
      <c r="K75" t="s">
        <v>16</v>
      </c>
      <c r="L75" t="s">
        <v>17</v>
      </c>
    </row>
    <row r="76" spans="1:12" x14ac:dyDescent="0.3">
      <c r="A76" t="s">
        <v>120</v>
      </c>
      <c r="B76" s="1">
        <v>45704</v>
      </c>
      <c r="C76" t="s">
        <v>35</v>
      </c>
      <c r="D76" t="s">
        <v>30</v>
      </c>
      <c r="E76" t="s">
        <v>47</v>
      </c>
      <c r="F76">
        <v>1</v>
      </c>
      <c r="G76">
        <v>450</v>
      </c>
      <c r="H76">
        <v>450</v>
      </c>
      <c r="I76">
        <v>0</v>
      </c>
      <c r="J76">
        <v>141.35</v>
      </c>
      <c r="K76" t="s">
        <v>16</v>
      </c>
      <c r="L76" t="s">
        <v>23</v>
      </c>
    </row>
    <row r="77" spans="1:12" x14ac:dyDescent="0.3">
      <c r="A77" t="s">
        <v>121</v>
      </c>
      <c r="B77" s="1">
        <v>45848</v>
      </c>
      <c r="C77" t="s">
        <v>28</v>
      </c>
      <c r="D77" t="s">
        <v>36</v>
      </c>
      <c r="E77" t="s">
        <v>37</v>
      </c>
      <c r="F77">
        <v>4</v>
      </c>
      <c r="G77">
        <v>12000</v>
      </c>
      <c r="H77">
        <v>48000</v>
      </c>
      <c r="I77">
        <v>0</v>
      </c>
      <c r="J77">
        <v>13025.37</v>
      </c>
      <c r="K77" t="s">
        <v>16</v>
      </c>
      <c r="L77" t="s">
        <v>23</v>
      </c>
    </row>
    <row r="78" spans="1:12" x14ac:dyDescent="0.3">
      <c r="A78" t="s">
        <v>122</v>
      </c>
      <c r="B78" s="1">
        <v>45883</v>
      </c>
      <c r="C78" t="s">
        <v>13</v>
      </c>
      <c r="D78" t="s">
        <v>20</v>
      </c>
      <c r="E78" t="s">
        <v>21</v>
      </c>
      <c r="F78">
        <v>6</v>
      </c>
      <c r="G78">
        <v>650</v>
      </c>
      <c r="H78">
        <v>3120</v>
      </c>
      <c r="I78">
        <v>0.2</v>
      </c>
      <c r="J78">
        <v>754.73</v>
      </c>
      <c r="K78" t="s">
        <v>16</v>
      </c>
      <c r="L78" t="s">
        <v>23</v>
      </c>
    </row>
    <row r="79" spans="1:12" x14ac:dyDescent="0.3">
      <c r="A79" t="s">
        <v>123</v>
      </c>
      <c r="B79" s="1">
        <v>46005</v>
      </c>
      <c r="C79" t="s">
        <v>13</v>
      </c>
      <c r="D79" t="s">
        <v>14</v>
      </c>
      <c r="E79" t="s">
        <v>105</v>
      </c>
      <c r="F79">
        <v>4</v>
      </c>
      <c r="G79">
        <v>14000</v>
      </c>
      <c r="H79">
        <v>56000</v>
      </c>
      <c r="I79">
        <v>0</v>
      </c>
      <c r="J79">
        <v>13768.48</v>
      </c>
      <c r="K79" t="s">
        <v>16</v>
      </c>
      <c r="L79" t="s">
        <v>32</v>
      </c>
    </row>
    <row r="80" spans="1:12" x14ac:dyDescent="0.3">
      <c r="A80" t="s">
        <v>124</v>
      </c>
      <c r="B80" s="1">
        <v>45877</v>
      </c>
      <c r="C80" t="s">
        <v>56</v>
      </c>
      <c r="D80" t="s">
        <v>14</v>
      </c>
      <c r="E80" t="s">
        <v>105</v>
      </c>
      <c r="F80">
        <v>4</v>
      </c>
      <c r="G80">
        <v>14000</v>
      </c>
      <c r="H80">
        <v>44800</v>
      </c>
      <c r="I80">
        <v>0.2</v>
      </c>
      <c r="J80">
        <v>7444.17</v>
      </c>
      <c r="K80" t="s">
        <v>16</v>
      </c>
      <c r="L80" t="s">
        <v>32</v>
      </c>
    </row>
    <row r="81" spans="1:12" x14ac:dyDescent="0.3">
      <c r="A81" t="s">
        <v>125</v>
      </c>
      <c r="B81" s="1">
        <v>45797</v>
      </c>
      <c r="C81" t="s">
        <v>19</v>
      </c>
      <c r="D81" t="s">
        <v>30</v>
      </c>
      <c r="E81" t="s">
        <v>47</v>
      </c>
      <c r="F81">
        <v>6</v>
      </c>
      <c r="G81">
        <v>450</v>
      </c>
      <c r="H81">
        <v>2430</v>
      </c>
      <c r="I81">
        <v>0.1</v>
      </c>
      <c r="J81">
        <v>938.06</v>
      </c>
      <c r="K81" t="s">
        <v>26</v>
      </c>
      <c r="L81" t="s">
        <v>32</v>
      </c>
    </row>
    <row r="82" spans="1:12" x14ac:dyDescent="0.3">
      <c r="A82" t="s">
        <v>126</v>
      </c>
      <c r="B82" s="1">
        <v>45969</v>
      </c>
      <c r="C82" t="s">
        <v>13</v>
      </c>
      <c r="D82" t="s">
        <v>14</v>
      </c>
      <c r="E82" t="s">
        <v>105</v>
      </c>
      <c r="F82">
        <v>9</v>
      </c>
      <c r="G82">
        <v>14000</v>
      </c>
      <c r="H82">
        <v>126000</v>
      </c>
      <c r="I82">
        <v>0</v>
      </c>
      <c r="J82">
        <v>23711.78</v>
      </c>
      <c r="K82" t="s">
        <v>22</v>
      </c>
      <c r="L82" t="s">
        <v>17</v>
      </c>
    </row>
    <row r="83" spans="1:12" x14ac:dyDescent="0.3">
      <c r="A83" t="s">
        <v>127</v>
      </c>
      <c r="B83" s="1">
        <v>45927</v>
      </c>
      <c r="C83" t="s">
        <v>13</v>
      </c>
      <c r="D83" t="s">
        <v>30</v>
      </c>
      <c r="E83" t="s">
        <v>47</v>
      </c>
      <c r="F83">
        <v>2</v>
      </c>
      <c r="G83">
        <v>450</v>
      </c>
      <c r="H83">
        <v>810</v>
      </c>
      <c r="I83">
        <v>0.1</v>
      </c>
      <c r="J83">
        <v>201.14</v>
      </c>
      <c r="K83" t="s">
        <v>22</v>
      </c>
      <c r="L83" t="s">
        <v>23</v>
      </c>
    </row>
    <row r="84" spans="1:12" x14ac:dyDescent="0.3">
      <c r="A84" t="s">
        <v>128</v>
      </c>
      <c r="B84" s="1">
        <v>45889</v>
      </c>
      <c r="C84" t="s">
        <v>13</v>
      </c>
      <c r="D84" t="s">
        <v>30</v>
      </c>
      <c r="E84" t="s">
        <v>31</v>
      </c>
      <c r="F84">
        <v>2</v>
      </c>
      <c r="G84">
        <v>120</v>
      </c>
      <c r="H84">
        <v>204</v>
      </c>
      <c r="I84">
        <v>0.15</v>
      </c>
      <c r="J84">
        <v>69.290000000000006</v>
      </c>
      <c r="K84" t="s">
        <v>22</v>
      </c>
      <c r="L84" t="s">
        <v>23</v>
      </c>
    </row>
    <row r="85" spans="1:12" x14ac:dyDescent="0.3">
      <c r="A85" t="s">
        <v>129</v>
      </c>
      <c r="B85" s="1">
        <v>45671</v>
      </c>
      <c r="C85" t="s">
        <v>56</v>
      </c>
      <c r="D85" t="s">
        <v>20</v>
      </c>
      <c r="E85" t="s">
        <v>21</v>
      </c>
      <c r="F85">
        <v>9</v>
      </c>
      <c r="G85">
        <v>650</v>
      </c>
      <c r="H85">
        <v>5850</v>
      </c>
      <c r="I85">
        <v>0</v>
      </c>
      <c r="J85">
        <v>2390.67</v>
      </c>
      <c r="K85" t="s">
        <v>26</v>
      </c>
      <c r="L85" t="s">
        <v>32</v>
      </c>
    </row>
    <row r="86" spans="1:12" x14ac:dyDescent="0.3">
      <c r="A86" t="s">
        <v>130</v>
      </c>
      <c r="B86" s="1">
        <v>45966</v>
      </c>
      <c r="C86" t="s">
        <v>13</v>
      </c>
      <c r="D86" t="s">
        <v>36</v>
      </c>
      <c r="E86" t="s">
        <v>54</v>
      </c>
      <c r="F86">
        <v>1</v>
      </c>
      <c r="G86">
        <v>7000</v>
      </c>
      <c r="H86">
        <v>7000</v>
      </c>
      <c r="I86">
        <v>0</v>
      </c>
      <c r="J86">
        <v>1734.52</v>
      </c>
      <c r="K86" t="s">
        <v>22</v>
      </c>
      <c r="L86" t="s">
        <v>17</v>
      </c>
    </row>
    <row r="87" spans="1:12" x14ac:dyDescent="0.3">
      <c r="A87" t="s">
        <v>131</v>
      </c>
      <c r="B87" s="1">
        <v>45897</v>
      </c>
      <c r="C87" t="s">
        <v>28</v>
      </c>
      <c r="D87" t="s">
        <v>30</v>
      </c>
      <c r="E87" t="s">
        <v>82</v>
      </c>
      <c r="F87">
        <v>5</v>
      </c>
      <c r="G87">
        <v>250</v>
      </c>
      <c r="H87">
        <v>1125</v>
      </c>
      <c r="I87">
        <v>0.1</v>
      </c>
      <c r="J87">
        <v>355.82</v>
      </c>
      <c r="K87" t="s">
        <v>26</v>
      </c>
      <c r="L87" t="s">
        <v>32</v>
      </c>
    </row>
    <row r="88" spans="1:12" x14ac:dyDescent="0.3">
      <c r="A88" t="s">
        <v>132</v>
      </c>
      <c r="B88" s="1">
        <v>45754</v>
      </c>
      <c r="C88" t="s">
        <v>56</v>
      </c>
      <c r="D88" t="s">
        <v>30</v>
      </c>
      <c r="E88" t="s">
        <v>45</v>
      </c>
      <c r="F88">
        <v>1</v>
      </c>
      <c r="G88">
        <v>180</v>
      </c>
      <c r="H88">
        <v>162</v>
      </c>
      <c r="I88">
        <v>0.1</v>
      </c>
      <c r="J88">
        <v>50.89</v>
      </c>
      <c r="K88" t="s">
        <v>16</v>
      </c>
      <c r="L88" t="s">
        <v>23</v>
      </c>
    </row>
    <row r="89" spans="1:12" x14ac:dyDescent="0.3">
      <c r="A89" t="s">
        <v>133</v>
      </c>
      <c r="B89" s="1">
        <v>45675</v>
      </c>
      <c r="C89" t="s">
        <v>13</v>
      </c>
      <c r="D89" t="s">
        <v>20</v>
      </c>
      <c r="E89" t="s">
        <v>21</v>
      </c>
      <c r="F89">
        <v>9</v>
      </c>
      <c r="G89">
        <v>650</v>
      </c>
      <c r="H89">
        <v>5850</v>
      </c>
      <c r="I89">
        <v>0</v>
      </c>
      <c r="J89">
        <v>1844.4</v>
      </c>
      <c r="K89" t="s">
        <v>26</v>
      </c>
      <c r="L89" t="s">
        <v>32</v>
      </c>
    </row>
    <row r="90" spans="1:12" x14ac:dyDescent="0.3">
      <c r="A90" t="s">
        <v>134</v>
      </c>
      <c r="B90" s="1">
        <v>45955</v>
      </c>
      <c r="C90" t="s">
        <v>56</v>
      </c>
      <c r="D90" t="s">
        <v>30</v>
      </c>
      <c r="E90" t="s">
        <v>82</v>
      </c>
      <c r="F90">
        <v>9</v>
      </c>
      <c r="G90">
        <v>250</v>
      </c>
      <c r="H90">
        <v>2137.5</v>
      </c>
      <c r="I90">
        <v>0.05</v>
      </c>
      <c r="J90">
        <v>737.61</v>
      </c>
      <c r="K90" t="s">
        <v>26</v>
      </c>
      <c r="L90" t="s">
        <v>17</v>
      </c>
    </row>
    <row r="91" spans="1:12" x14ac:dyDescent="0.3">
      <c r="A91" t="s">
        <v>135</v>
      </c>
      <c r="B91" s="1">
        <v>45941</v>
      </c>
      <c r="C91" t="s">
        <v>28</v>
      </c>
      <c r="D91" t="s">
        <v>36</v>
      </c>
      <c r="E91" t="s">
        <v>91</v>
      </c>
      <c r="F91">
        <v>10</v>
      </c>
      <c r="G91">
        <v>8500</v>
      </c>
      <c r="H91">
        <v>80750</v>
      </c>
      <c r="I91">
        <v>0.05</v>
      </c>
      <c r="J91">
        <v>15505.97</v>
      </c>
      <c r="K91" t="s">
        <v>26</v>
      </c>
      <c r="L91" t="s">
        <v>23</v>
      </c>
    </row>
    <row r="92" spans="1:12" x14ac:dyDescent="0.3">
      <c r="A92" t="s">
        <v>136</v>
      </c>
      <c r="B92" s="1">
        <v>45684</v>
      </c>
      <c r="C92" t="s">
        <v>19</v>
      </c>
      <c r="D92" t="s">
        <v>14</v>
      </c>
      <c r="E92" t="s">
        <v>43</v>
      </c>
      <c r="F92">
        <v>7</v>
      </c>
      <c r="G92">
        <v>65000</v>
      </c>
      <c r="H92">
        <v>409500</v>
      </c>
      <c r="I92">
        <v>0.1</v>
      </c>
      <c r="J92">
        <v>39295.71</v>
      </c>
      <c r="K92" t="s">
        <v>22</v>
      </c>
      <c r="L92" t="s">
        <v>17</v>
      </c>
    </row>
    <row r="93" spans="1:12" x14ac:dyDescent="0.3">
      <c r="A93" t="s">
        <v>137</v>
      </c>
      <c r="B93" s="1">
        <v>45769</v>
      </c>
      <c r="C93" t="s">
        <v>13</v>
      </c>
      <c r="D93" t="s">
        <v>30</v>
      </c>
      <c r="E93" t="s">
        <v>47</v>
      </c>
      <c r="F93">
        <v>2</v>
      </c>
      <c r="G93">
        <v>450</v>
      </c>
      <c r="H93">
        <v>855</v>
      </c>
      <c r="I93">
        <v>0.05</v>
      </c>
      <c r="J93">
        <v>319.27</v>
      </c>
      <c r="K93" t="s">
        <v>22</v>
      </c>
      <c r="L93" t="s">
        <v>23</v>
      </c>
    </row>
    <row r="94" spans="1:12" x14ac:dyDescent="0.3">
      <c r="A94" t="s">
        <v>138</v>
      </c>
      <c r="B94" s="1">
        <v>45755</v>
      </c>
      <c r="C94" t="s">
        <v>35</v>
      </c>
      <c r="D94" t="s">
        <v>14</v>
      </c>
      <c r="E94" t="s">
        <v>15</v>
      </c>
      <c r="F94">
        <v>8</v>
      </c>
      <c r="G94">
        <v>1200</v>
      </c>
      <c r="H94">
        <v>8160</v>
      </c>
      <c r="I94">
        <v>0.15</v>
      </c>
      <c r="J94">
        <v>-820.89</v>
      </c>
      <c r="K94" t="s">
        <v>22</v>
      </c>
      <c r="L94" t="s">
        <v>23</v>
      </c>
    </row>
    <row r="95" spans="1:12" x14ac:dyDescent="0.3">
      <c r="A95" t="s">
        <v>139</v>
      </c>
      <c r="B95" s="1">
        <v>45988</v>
      </c>
      <c r="C95" t="s">
        <v>56</v>
      </c>
      <c r="D95" t="s">
        <v>14</v>
      </c>
      <c r="E95" t="s">
        <v>105</v>
      </c>
      <c r="F95">
        <v>2</v>
      </c>
      <c r="G95">
        <v>14000</v>
      </c>
      <c r="H95">
        <v>26600</v>
      </c>
      <c r="I95">
        <v>0.05</v>
      </c>
      <c r="J95">
        <v>9653.23</v>
      </c>
      <c r="K95" t="s">
        <v>26</v>
      </c>
      <c r="L95" t="s">
        <v>23</v>
      </c>
    </row>
    <row r="96" spans="1:12" x14ac:dyDescent="0.3">
      <c r="A96" t="s">
        <v>140</v>
      </c>
      <c r="B96" s="1">
        <v>45934</v>
      </c>
      <c r="C96" t="s">
        <v>28</v>
      </c>
      <c r="D96" t="s">
        <v>14</v>
      </c>
      <c r="E96" t="s">
        <v>25</v>
      </c>
      <c r="F96">
        <v>9</v>
      </c>
      <c r="G96">
        <v>3200</v>
      </c>
      <c r="H96">
        <v>28800</v>
      </c>
      <c r="I96">
        <v>0</v>
      </c>
      <c r="J96">
        <v>8703</v>
      </c>
      <c r="K96" t="s">
        <v>26</v>
      </c>
      <c r="L96" t="s">
        <v>32</v>
      </c>
    </row>
    <row r="97" spans="1:12" x14ac:dyDescent="0.3">
      <c r="A97" t="s">
        <v>141</v>
      </c>
      <c r="B97" s="1">
        <v>45665</v>
      </c>
      <c r="C97" t="s">
        <v>35</v>
      </c>
      <c r="D97" t="s">
        <v>30</v>
      </c>
      <c r="E97" t="s">
        <v>82</v>
      </c>
      <c r="F97">
        <v>9</v>
      </c>
      <c r="G97">
        <v>250</v>
      </c>
      <c r="H97">
        <v>2025</v>
      </c>
      <c r="I97">
        <v>0.1</v>
      </c>
      <c r="J97">
        <v>505.61</v>
      </c>
      <c r="K97" t="s">
        <v>26</v>
      </c>
      <c r="L97" t="s">
        <v>17</v>
      </c>
    </row>
    <row r="98" spans="1:12" x14ac:dyDescent="0.3">
      <c r="A98" t="s">
        <v>142</v>
      </c>
      <c r="B98" s="1">
        <v>45760</v>
      </c>
      <c r="C98" t="s">
        <v>13</v>
      </c>
      <c r="D98" t="s">
        <v>14</v>
      </c>
      <c r="E98" t="s">
        <v>65</v>
      </c>
      <c r="F98">
        <v>10</v>
      </c>
      <c r="G98">
        <v>700</v>
      </c>
      <c r="H98">
        <v>7000</v>
      </c>
      <c r="I98">
        <v>0</v>
      </c>
      <c r="J98">
        <v>2825.73</v>
      </c>
      <c r="K98" t="s">
        <v>26</v>
      </c>
      <c r="L98" t="s">
        <v>23</v>
      </c>
    </row>
    <row r="99" spans="1:12" x14ac:dyDescent="0.3">
      <c r="A99" t="s">
        <v>143</v>
      </c>
      <c r="B99" s="1">
        <v>45724</v>
      </c>
      <c r="C99" t="s">
        <v>13</v>
      </c>
      <c r="D99" t="s">
        <v>30</v>
      </c>
      <c r="E99" t="s">
        <v>82</v>
      </c>
      <c r="F99">
        <v>8</v>
      </c>
      <c r="G99">
        <v>250</v>
      </c>
      <c r="H99">
        <v>2000</v>
      </c>
      <c r="I99">
        <v>0</v>
      </c>
      <c r="J99">
        <v>889.77</v>
      </c>
      <c r="K99" t="s">
        <v>16</v>
      </c>
      <c r="L99" t="s">
        <v>32</v>
      </c>
    </row>
    <row r="100" spans="1:12" x14ac:dyDescent="0.3">
      <c r="A100" t="s">
        <v>144</v>
      </c>
      <c r="B100" s="1">
        <v>45658</v>
      </c>
      <c r="C100" t="s">
        <v>35</v>
      </c>
      <c r="D100" t="s">
        <v>20</v>
      </c>
      <c r="E100" t="s">
        <v>39</v>
      </c>
      <c r="F100">
        <v>6</v>
      </c>
      <c r="G100">
        <v>2800</v>
      </c>
      <c r="H100">
        <v>16800</v>
      </c>
      <c r="I100">
        <v>0</v>
      </c>
      <c r="J100">
        <v>5314.78</v>
      </c>
      <c r="K100" t="s">
        <v>22</v>
      </c>
      <c r="L100" t="s">
        <v>17</v>
      </c>
    </row>
    <row r="101" spans="1:12" x14ac:dyDescent="0.3">
      <c r="A101" t="s">
        <v>145</v>
      </c>
      <c r="B101" s="1">
        <v>46007</v>
      </c>
      <c r="C101" t="s">
        <v>13</v>
      </c>
      <c r="D101" t="s">
        <v>20</v>
      </c>
      <c r="E101" t="s">
        <v>21</v>
      </c>
      <c r="F101">
        <v>10</v>
      </c>
      <c r="G101">
        <v>650</v>
      </c>
      <c r="H101">
        <v>6175</v>
      </c>
      <c r="I101">
        <v>0.05</v>
      </c>
      <c r="J101">
        <v>1700.89</v>
      </c>
      <c r="K101" t="s">
        <v>22</v>
      </c>
      <c r="L101" t="s">
        <v>17</v>
      </c>
    </row>
    <row r="102" spans="1:12" x14ac:dyDescent="0.3">
      <c r="A102" t="s">
        <v>146</v>
      </c>
      <c r="B102" s="1">
        <v>45962</v>
      </c>
      <c r="C102" t="s">
        <v>13</v>
      </c>
      <c r="D102" t="s">
        <v>30</v>
      </c>
      <c r="E102" t="s">
        <v>82</v>
      </c>
      <c r="F102">
        <v>2</v>
      </c>
      <c r="G102">
        <v>250</v>
      </c>
      <c r="H102">
        <v>450</v>
      </c>
      <c r="I102">
        <v>0.1</v>
      </c>
      <c r="J102">
        <v>56.51</v>
      </c>
      <c r="K102" t="s">
        <v>16</v>
      </c>
      <c r="L102" t="s">
        <v>17</v>
      </c>
    </row>
    <row r="103" spans="1:12" x14ac:dyDescent="0.3">
      <c r="A103" t="s">
        <v>147</v>
      </c>
      <c r="B103" s="1">
        <v>45747</v>
      </c>
      <c r="C103" t="s">
        <v>35</v>
      </c>
      <c r="D103" t="s">
        <v>36</v>
      </c>
      <c r="E103" t="s">
        <v>54</v>
      </c>
      <c r="F103">
        <v>9</v>
      </c>
      <c r="G103">
        <v>7000</v>
      </c>
      <c r="H103">
        <v>63000</v>
      </c>
      <c r="I103">
        <v>0</v>
      </c>
      <c r="J103">
        <v>11808.82</v>
      </c>
      <c r="K103" t="s">
        <v>16</v>
      </c>
      <c r="L103" t="s">
        <v>32</v>
      </c>
    </row>
    <row r="104" spans="1:12" x14ac:dyDescent="0.3">
      <c r="A104" t="s">
        <v>148</v>
      </c>
      <c r="B104" s="1">
        <v>45902</v>
      </c>
      <c r="C104" t="s">
        <v>56</v>
      </c>
      <c r="D104" t="s">
        <v>36</v>
      </c>
      <c r="E104" t="s">
        <v>37</v>
      </c>
      <c r="F104">
        <v>3</v>
      </c>
      <c r="G104">
        <v>1800</v>
      </c>
      <c r="H104">
        <v>4590</v>
      </c>
      <c r="I104">
        <v>0.15</v>
      </c>
      <c r="J104">
        <v>228.33</v>
      </c>
      <c r="K104" t="s">
        <v>22</v>
      </c>
      <c r="L104" t="s">
        <v>32</v>
      </c>
    </row>
    <row r="105" spans="1:12" x14ac:dyDescent="0.3">
      <c r="A105" t="s">
        <v>149</v>
      </c>
      <c r="B105" s="1">
        <v>45668</v>
      </c>
      <c r="C105" t="s">
        <v>35</v>
      </c>
      <c r="D105" t="s">
        <v>14</v>
      </c>
      <c r="E105" t="s">
        <v>51</v>
      </c>
      <c r="F105">
        <v>9</v>
      </c>
      <c r="G105">
        <v>2500</v>
      </c>
      <c r="H105">
        <v>21375</v>
      </c>
      <c r="I105">
        <v>0.05</v>
      </c>
      <c r="J105">
        <v>8103.13</v>
      </c>
      <c r="K105" t="s">
        <v>16</v>
      </c>
      <c r="L105" t="s">
        <v>23</v>
      </c>
    </row>
    <row r="106" spans="1:12" x14ac:dyDescent="0.3">
      <c r="A106" t="s">
        <v>150</v>
      </c>
      <c r="B106" s="1">
        <v>45824</v>
      </c>
      <c r="C106" t="s">
        <v>35</v>
      </c>
      <c r="D106" t="s">
        <v>36</v>
      </c>
      <c r="E106" t="s">
        <v>37</v>
      </c>
      <c r="F106">
        <v>1</v>
      </c>
      <c r="G106">
        <v>1800</v>
      </c>
      <c r="H106">
        <v>1620</v>
      </c>
      <c r="I106">
        <v>0.1</v>
      </c>
      <c r="J106">
        <v>344.59</v>
      </c>
      <c r="K106" t="s">
        <v>22</v>
      </c>
      <c r="L106" t="s">
        <v>23</v>
      </c>
    </row>
    <row r="107" spans="1:12" x14ac:dyDescent="0.3">
      <c r="A107" t="s">
        <v>151</v>
      </c>
      <c r="B107" s="1">
        <v>45886</v>
      </c>
      <c r="C107" t="s">
        <v>13</v>
      </c>
      <c r="D107" t="s">
        <v>30</v>
      </c>
      <c r="E107" t="s">
        <v>45</v>
      </c>
      <c r="F107">
        <v>8</v>
      </c>
      <c r="G107">
        <v>180</v>
      </c>
      <c r="H107">
        <v>1152</v>
      </c>
      <c r="I107">
        <v>0.2</v>
      </c>
      <c r="J107">
        <v>-5.56</v>
      </c>
      <c r="K107" t="s">
        <v>26</v>
      </c>
      <c r="L107" t="s">
        <v>23</v>
      </c>
    </row>
    <row r="108" spans="1:12" x14ac:dyDescent="0.3">
      <c r="A108" t="s">
        <v>152</v>
      </c>
      <c r="B108" s="1">
        <v>46015</v>
      </c>
      <c r="C108" t="s">
        <v>19</v>
      </c>
      <c r="D108" t="s">
        <v>30</v>
      </c>
      <c r="E108" t="s">
        <v>47</v>
      </c>
      <c r="F108">
        <v>3</v>
      </c>
      <c r="G108">
        <v>450</v>
      </c>
      <c r="H108">
        <v>1350</v>
      </c>
      <c r="I108">
        <v>0</v>
      </c>
      <c r="J108">
        <v>-87.61</v>
      </c>
      <c r="K108" t="s">
        <v>16</v>
      </c>
      <c r="L108" t="s">
        <v>23</v>
      </c>
    </row>
    <row r="109" spans="1:12" x14ac:dyDescent="0.3">
      <c r="A109" t="s">
        <v>153</v>
      </c>
      <c r="B109" s="1">
        <v>45829</v>
      </c>
      <c r="C109" t="s">
        <v>13</v>
      </c>
      <c r="D109" t="s">
        <v>36</v>
      </c>
      <c r="E109" t="s">
        <v>54</v>
      </c>
      <c r="F109">
        <v>3</v>
      </c>
      <c r="G109">
        <v>7000</v>
      </c>
      <c r="H109">
        <v>21000</v>
      </c>
      <c r="I109">
        <v>0</v>
      </c>
      <c r="J109">
        <v>8146.77</v>
      </c>
      <c r="K109" t="s">
        <v>26</v>
      </c>
      <c r="L109" t="s">
        <v>32</v>
      </c>
    </row>
    <row r="110" spans="1:12" x14ac:dyDescent="0.3">
      <c r="A110" t="s">
        <v>154</v>
      </c>
      <c r="B110" s="1">
        <v>45889</v>
      </c>
      <c r="C110" t="s">
        <v>28</v>
      </c>
      <c r="D110" t="s">
        <v>30</v>
      </c>
      <c r="E110" t="s">
        <v>41</v>
      </c>
      <c r="F110">
        <v>9</v>
      </c>
      <c r="G110">
        <v>600</v>
      </c>
      <c r="H110">
        <v>4860</v>
      </c>
      <c r="I110">
        <v>0.1</v>
      </c>
      <c r="J110">
        <v>878.72</v>
      </c>
      <c r="K110" t="s">
        <v>22</v>
      </c>
      <c r="L110" t="s">
        <v>17</v>
      </c>
    </row>
    <row r="111" spans="1:12" x14ac:dyDescent="0.3">
      <c r="A111" t="s">
        <v>155</v>
      </c>
      <c r="B111" s="1">
        <v>46001</v>
      </c>
      <c r="C111" t="s">
        <v>13</v>
      </c>
      <c r="D111" t="s">
        <v>30</v>
      </c>
      <c r="E111" t="s">
        <v>31</v>
      </c>
      <c r="F111">
        <v>10</v>
      </c>
      <c r="G111">
        <v>120</v>
      </c>
      <c r="H111">
        <v>1200</v>
      </c>
      <c r="I111">
        <v>0</v>
      </c>
      <c r="J111">
        <v>442.7</v>
      </c>
      <c r="K111" t="s">
        <v>22</v>
      </c>
      <c r="L111" t="s">
        <v>23</v>
      </c>
    </row>
    <row r="112" spans="1:12" x14ac:dyDescent="0.3">
      <c r="A112" t="s">
        <v>156</v>
      </c>
      <c r="B112" s="1">
        <v>45830</v>
      </c>
      <c r="C112" t="s">
        <v>13</v>
      </c>
      <c r="D112" t="s">
        <v>20</v>
      </c>
      <c r="E112" t="s">
        <v>21</v>
      </c>
      <c r="F112">
        <v>1</v>
      </c>
      <c r="G112">
        <v>650</v>
      </c>
      <c r="H112">
        <v>552.5</v>
      </c>
      <c r="I112">
        <v>0.15</v>
      </c>
      <c r="J112">
        <v>-64.62</v>
      </c>
      <c r="K112" t="s">
        <v>26</v>
      </c>
      <c r="L112" t="s">
        <v>23</v>
      </c>
    </row>
    <row r="113" spans="1:12" x14ac:dyDescent="0.3">
      <c r="A113" t="s">
        <v>157</v>
      </c>
      <c r="B113" s="1">
        <v>45857</v>
      </c>
      <c r="C113" t="s">
        <v>13</v>
      </c>
      <c r="D113" t="s">
        <v>36</v>
      </c>
      <c r="E113" t="s">
        <v>54</v>
      </c>
      <c r="F113">
        <v>10</v>
      </c>
      <c r="G113">
        <v>7000</v>
      </c>
      <c r="H113">
        <v>59500</v>
      </c>
      <c r="I113">
        <v>0.15</v>
      </c>
      <c r="J113">
        <v>14381.76</v>
      </c>
      <c r="K113" t="s">
        <v>22</v>
      </c>
      <c r="L113" t="s">
        <v>32</v>
      </c>
    </row>
    <row r="114" spans="1:12" x14ac:dyDescent="0.3">
      <c r="A114" t="s">
        <v>158</v>
      </c>
      <c r="B114" s="1">
        <v>45782</v>
      </c>
      <c r="C114" t="s">
        <v>13</v>
      </c>
      <c r="D114" t="s">
        <v>20</v>
      </c>
      <c r="E114" t="s">
        <v>21</v>
      </c>
      <c r="F114">
        <v>7</v>
      </c>
      <c r="G114">
        <v>650</v>
      </c>
      <c r="H114">
        <v>3867.5</v>
      </c>
      <c r="I114">
        <v>0.15</v>
      </c>
      <c r="J114">
        <v>268.83</v>
      </c>
      <c r="K114" t="s">
        <v>16</v>
      </c>
      <c r="L114" t="s">
        <v>23</v>
      </c>
    </row>
    <row r="115" spans="1:12" x14ac:dyDescent="0.3">
      <c r="A115" t="s">
        <v>159</v>
      </c>
      <c r="B115" s="1">
        <v>45859</v>
      </c>
      <c r="C115" t="s">
        <v>35</v>
      </c>
      <c r="D115" t="s">
        <v>30</v>
      </c>
      <c r="E115" t="s">
        <v>31</v>
      </c>
      <c r="F115">
        <v>2</v>
      </c>
      <c r="G115">
        <v>120</v>
      </c>
      <c r="H115">
        <v>240</v>
      </c>
      <c r="I115">
        <v>0</v>
      </c>
      <c r="J115">
        <v>94.05</v>
      </c>
      <c r="K115" t="s">
        <v>22</v>
      </c>
      <c r="L115" t="s">
        <v>23</v>
      </c>
    </row>
    <row r="116" spans="1:12" x14ac:dyDescent="0.3">
      <c r="A116" t="s">
        <v>160</v>
      </c>
      <c r="B116" s="1">
        <v>45769</v>
      </c>
      <c r="C116" t="s">
        <v>35</v>
      </c>
      <c r="D116" t="s">
        <v>36</v>
      </c>
      <c r="E116" t="s">
        <v>54</v>
      </c>
      <c r="F116">
        <v>1</v>
      </c>
      <c r="G116">
        <v>7000</v>
      </c>
      <c r="H116">
        <v>5950</v>
      </c>
      <c r="I116">
        <v>0.15</v>
      </c>
      <c r="J116">
        <v>1940.15</v>
      </c>
      <c r="K116" t="s">
        <v>22</v>
      </c>
      <c r="L116" t="s">
        <v>23</v>
      </c>
    </row>
    <row r="117" spans="1:12" x14ac:dyDescent="0.3">
      <c r="A117" t="s">
        <v>161</v>
      </c>
      <c r="B117" s="1">
        <v>45659</v>
      </c>
      <c r="C117" t="s">
        <v>56</v>
      </c>
      <c r="D117" t="s">
        <v>30</v>
      </c>
      <c r="E117" t="s">
        <v>41</v>
      </c>
      <c r="F117">
        <v>2</v>
      </c>
      <c r="G117">
        <v>600</v>
      </c>
      <c r="H117">
        <v>1080</v>
      </c>
      <c r="I117">
        <v>0.1</v>
      </c>
      <c r="J117">
        <v>343.86</v>
      </c>
      <c r="K117" t="s">
        <v>22</v>
      </c>
      <c r="L117" t="s">
        <v>23</v>
      </c>
    </row>
    <row r="118" spans="1:12" x14ac:dyDescent="0.3">
      <c r="A118" t="s">
        <v>162</v>
      </c>
      <c r="B118" s="1">
        <v>45755</v>
      </c>
      <c r="C118" t="s">
        <v>13</v>
      </c>
      <c r="D118" t="s">
        <v>36</v>
      </c>
      <c r="E118" t="s">
        <v>37</v>
      </c>
      <c r="F118">
        <v>7</v>
      </c>
      <c r="G118">
        <v>1800</v>
      </c>
      <c r="H118">
        <v>12600</v>
      </c>
      <c r="I118">
        <v>0</v>
      </c>
      <c r="J118">
        <v>3480.32</v>
      </c>
      <c r="K118" t="s">
        <v>26</v>
      </c>
      <c r="L118" t="s">
        <v>23</v>
      </c>
    </row>
    <row r="119" spans="1:12" x14ac:dyDescent="0.3">
      <c r="A119" t="s">
        <v>163</v>
      </c>
      <c r="B119" s="1">
        <v>45708</v>
      </c>
      <c r="C119" t="s">
        <v>13</v>
      </c>
      <c r="D119" t="s">
        <v>36</v>
      </c>
      <c r="E119" t="s">
        <v>91</v>
      </c>
      <c r="F119">
        <v>2</v>
      </c>
      <c r="G119">
        <v>8500</v>
      </c>
      <c r="H119">
        <v>16150</v>
      </c>
      <c r="I119">
        <v>0.05</v>
      </c>
      <c r="J119">
        <v>5713.57</v>
      </c>
      <c r="K119" t="s">
        <v>26</v>
      </c>
      <c r="L119" t="s">
        <v>32</v>
      </c>
    </row>
    <row r="120" spans="1:12" x14ac:dyDescent="0.3">
      <c r="A120" t="s">
        <v>164</v>
      </c>
      <c r="B120" s="1">
        <v>45912</v>
      </c>
      <c r="C120" t="s">
        <v>56</v>
      </c>
      <c r="D120" t="s">
        <v>14</v>
      </c>
      <c r="E120" t="s">
        <v>43</v>
      </c>
      <c r="F120">
        <v>8</v>
      </c>
      <c r="G120">
        <v>65000</v>
      </c>
      <c r="H120">
        <v>468000</v>
      </c>
      <c r="I120">
        <v>0.1</v>
      </c>
      <c r="J120">
        <v>58955.06</v>
      </c>
      <c r="K120" t="s">
        <v>26</v>
      </c>
      <c r="L120" t="s">
        <v>23</v>
      </c>
    </row>
    <row r="121" spans="1:12" x14ac:dyDescent="0.3">
      <c r="A121" t="s">
        <v>165</v>
      </c>
      <c r="B121" s="1">
        <v>45788</v>
      </c>
      <c r="C121" t="s">
        <v>13</v>
      </c>
      <c r="D121" t="s">
        <v>30</v>
      </c>
      <c r="E121" t="s">
        <v>31</v>
      </c>
      <c r="F121">
        <v>1</v>
      </c>
      <c r="G121">
        <v>120</v>
      </c>
      <c r="H121">
        <v>108</v>
      </c>
      <c r="I121">
        <v>0.1</v>
      </c>
      <c r="J121">
        <v>36.119999999999997</v>
      </c>
      <c r="K121" t="s">
        <v>16</v>
      </c>
      <c r="L121" t="s">
        <v>32</v>
      </c>
    </row>
    <row r="122" spans="1:12" x14ac:dyDescent="0.3">
      <c r="A122" t="s">
        <v>166</v>
      </c>
      <c r="B122" s="1">
        <v>45968</v>
      </c>
      <c r="C122" t="s">
        <v>19</v>
      </c>
      <c r="D122" t="s">
        <v>20</v>
      </c>
      <c r="E122" t="s">
        <v>84</v>
      </c>
      <c r="F122">
        <v>6</v>
      </c>
      <c r="G122">
        <v>3200</v>
      </c>
      <c r="H122">
        <v>19200</v>
      </c>
      <c r="I122">
        <v>0</v>
      </c>
      <c r="J122">
        <v>8583.15</v>
      </c>
      <c r="K122" t="s">
        <v>26</v>
      </c>
      <c r="L122" t="s">
        <v>23</v>
      </c>
    </row>
    <row r="123" spans="1:12" x14ac:dyDescent="0.3">
      <c r="A123" t="s">
        <v>167</v>
      </c>
      <c r="B123" s="1">
        <v>45982</v>
      </c>
      <c r="C123" t="s">
        <v>56</v>
      </c>
      <c r="D123" t="s">
        <v>14</v>
      </c>
      <c r="E123" t="s">
        <v>25</v>
      </c>
      <c r="F123">
        <v>4</v>
      </c>
      <c r="G123">
        <v>3200</v>
      </c>
      <c r="H123">
        <v>12160</v>
      </c>
      <c r="I123">
        <v>0.05</v>
      </c>
      <c r="J123">
        <v>1896.66</v>
      </c>
      <c r="K123" t="s">
        <v>16</v>
      </c>
      <c r="L123" t="s">
        <v>17</v>
      </c>
    </row>
    <row r="124" spans="1:12" x14ac:dyDescent="0.3">
      <c r="A124" t="s">
        <v>168</v>
      </c>
      <c r="B124" s="1">
        <v>45967</v>
      </c>
      <c r="C124" t="s">
        <v>13</v>
      </c>
      <c r="D124" t="s">
        <v>30</v>
      </c>
      <c r="E124" t="s">
        <v>47</v>
      </c>
      <c r="F124">
        <v>7</v>
      </c>
      <c r="G124">
        <v>450</v>
      </c>
      <c r="H124">
        <v>2677.5</v>
      </c>
      <c r="I124">
        <v>0.15</v>
      </c>
      <c r="J124">
        <v>207.83</v>
      </c>
      <c r="K124" t="s">
        <v>22</v>
      </c>
      <c r="L124" t="s">
        <v>17</v>
      </c>
    </row>
    <row r="125" spans="1:12" x14ac:dyDescent="0.3">
      <c r="A125" t="s">
        <v>169</v>
      </c>
      <c r="B125" s="1">
        <v>45806</v>
      </c>
      <c r="C125" t="s">
        <v>35</v>
      </c>
      <c r="D125" t="s">
        <v>20</v>
      </c>
      <c r="E125" t="s">
        <v>97</v>
      </c>
      <c r="F125">
        <v>1</v>
      </c>
      <c r="G125">
        <v>400</v>
      </c>
      <c r="H125">
        <v>340</v>
      </c>
      <c r="I125">
        <v>0.15</v>
      </c>
      <c r="J125">
        <v>54.16</v>
      </c>
      <c r="K125" t="s">
        <v>16</v>
      </c>
      <c r="L125" t="s">
        <v>23</v>
      </c>
    </row>
    <row r="126" spans="1:12" x14ac:dyDescent="0.3">
      <c r="A126" t="s">
        <v>170</v>
      </c>
      <c r="B126" s="1">
        <v>45793</v>
      </c>
      <c r="C126" t="s">
        <v>19</v>
      </c>
      <c r="D126" t="s">
        <v>36</v>
      </c>
      <c r="E126" t="s">
        <v>37</v>
      </c>
      <c r="F126">
        <v>3</v>
      </c>
      <c r="G126">
        <v>1800</v>
      </c>
      <c r="H126">
        <v>5130</v>
      </c>
      <c r="I126">
        <v>0.05</v>
      </c>
      <c r="J126">
        <v>972.07</v>
      </c>
      <c r="K126" t="s">
        <v>22</v>
      </c>
      <c r="L126" t="s">
        <v>17</v>
      </c>
    </row>
    <row r="127" spans="1:12" x14ac:dyDescent="0.3">
      <c r="A127" t="s">
        <v>171</v>
      </c>
      <c r="B127" s="1">
        <v>45984</v>
      </c>
      <c r="C127" t="s">
        <v>56</v>
      </c>
      <c r="D127" t="s">
        <v>36</v>
      </c>
      <c r="E127" t="s">
        <v>91</v>
      </c>
      <c r="F127">
        <v>4</v>
      </c>
      <c r="G127">
        <v>8500</v>
      </c>
      <c r="H127">
        <v>28900</v>
      </c>
      <c r="I127">
        <v>0.15</v>
      </c>
      <c r="J127">
        <v>4738.45</v>
      </c>
      <c r="K127" t="s">
        <v>16</v>
      </c>
      <c r="L127" t="s">
        <v>23</v>
      </c>
    </row>
    <row r="128" spans="1:12" x14ac:dyDescent="0.3">
      <c r="A128" t="s">
        <v>172</v>
      </c>
      <c r="B128" s="1">
        <v>45848</v>
      </c>
      <c r="C128" t="s">
        <v>90</v>
      </c>
      <c r="D128" t="s">
        <v>20</v>
      </c>
      <c r="E128" t="s">
        <v>21</v>
      </c>
      <c r="F128">
        <v>10</v>
      </c>
      <c r="G128">
        <v>650</v>
      </c>
      <c r="H128">
        <v>5850</v>
      </c>
      <c r="I128">
        <v>0.1</v>
      </c>
      <c r="J128">
        <v>1206.68</v>
      </c>
      <c r="K128" t="s">
        <v>16</v>
      </c>
      <c r="L128" t="s">
        <v>23</v>
      </c>
    </row>
    <row r="129" spans="1:12" x14ac:dyDescent="0.3">
      <c r="A129" t="s">
        <v>173</v>
      </c>
      <c r="B129" s="1">
        <v>45837</v>
      </c>
      <c r="C129" t="s">
        <v>19</v>
      </c>
      <c r="D129" t="s">
        <v>30</v>
      </c>
      <c r="E129" t="s">
        <v>41</v>
      </c>
      <c r="F129">
        <v>7</v>
      </c>
      <c r="G129">
        <v>600</v>
      </c>
      <c r="H129">
        <v>3990</v>
      </c>
      <c r="I129">
        <v>0.05</v>
      </c>
      <c r="J129">
        <v>1663.62</v>
      </c>
      <c r="K129" t="s">
        <v>26</v>
      </c>
      <c r="L129" t="s">
        <v>32</v>
      </c>
    </row>
    <row r="130" spans="1:12" x14ac:dyDescent="0.3">
      <c r="A130" t="s">
        <v>174</v>
      </c>
      <c r="B130" s="1">
        <v>45808</v>
      </c>
      <c r="C130" t="s">
        <v>13</v>
      </c>
      <c r="D130" t="s">
        <v>30</v>
      </c>
      <c r="E130" t="s">
        <v>45</v>
      </c>
      <c r="F130">
        <v>8</v>
      </c>
      <c r="G130">
        <v>180</v>
      </c>
      <c r="H130">
        <v>1440</v>
      </c>
      <c r="I130">
        <v>0</v>
      </c>
      <c r="J130">
        <v>413.48</v>
      </c>
      <c r="K130" t="s">
        <v>16</v>
      </c>
      <c r="L130" t="s">
        <v>32</v>
      </c>
    </row>
    <row r="131" spans="1:12" x14ac:dyDescent="0.3">
      <c r="A131" t="s">
        <v>175</v>
      </c>
      <c r="B131" s="1">
        <v>46021</v>
      </c>
      <c r="C131" t="s">
        <v>19</v>
      </c>
      <c r="D131" t="s">
        <v>14</v>
      </c>
      <c r="E131" t="s">
        <v>15</v>
      </c>
      <c r="F131">
        <v>7</v>
      </c>
      <c r="G131">
        <v>1200</v>
      </c>
      <c r="H131">
        <v>7980</v>
      </c>
      <c r="I131">
        <v>0.05</v>
      </c>
      <c r="J131">
        <v>2489.2399999999998</v>
      </c>
      <c r="K131" t="s">
        <v>22</v>
      </c>
      <c r="L131" t="s">
        <v>32</v>
      </c>
    </row>
    <row r="132" spans="1:12" x14ac:dyDescent="0.3">
      <c r="A132" t="s">
        <v>176</v>
      </c>
      <c r="B132" s="1">
        <v>45974</v>
      </c>
      <c r="C132" t="s">
        <v>13</v>
      </c>
      <c r="D132" t="s">
        <v>36</v>
      </c>
      <c r="E132" t="s">
        <v>91</v>
      </c>
      <c r="F132">
        <v>2</v>
      </c>
      <c r="G132">
        <v>8500</v>
      </c>
      <c r="H132">
        <v>17000</v>
      </c>
      <c r="I132">
        <v>0</v>
      </c>
      <c r="J132">
        <v>6839.66</v>
      </c>
      <c r="K132" t="s">
        <v>26</v>
      </c>
      <c r="L132" t="s">
        <v>32</v>
      </c>
    </row>
    <row r="133" spans="1:12" x14ac:dyDescent="0.3">
      <c r="A133" t="s">
        <v>177</v>
      </c>
      <c r="B133" s="1">
        <v>46013</v>
      </c>
      <c r="C133" t="s">
        <v>56</v>
      </c>
      <c r="D133" t="s">
        <v>14</v>
      </c>
      <c r="E133" t="s">
        <v>15</v>
      </c>
      <c r="F133">
        <v>3</v>
      </c>
      <c r="G133">
        <v>1200</v>
      </c>
      <c r="H133">
        <v>3600</v>
      </c>
      <c r="I133">
        <v>0</v>
      </c>
      <c r="J133">
        <v>770.3</v>
      </c>
      <c r="K133" t="s">
        <v>22</v>
      </c>
      <c r="L133" t="s">
        <v>32</v>
      </c>
    </row>
    <row r="134" spans="1:12" x14ac:dyDescent="0.3">
      <c r="A134" t="s">
        <v>178</v>
      </c>
      <c r="B134" s="1">
        <v>45670</v>
      </c>
      <c r="C134" t="s">
        <v>19</v>
      </c>
      <c r="D134" t="s">
        <v>20</v>
      </c>
      <c r="E134" t="s">
        <v>84</v>
      </c>
      <c r="F134">
        <v>3</v>
      </c>
      <c r="G134">
        <v>3200</v>
      </c>
      <c r="H134">
        <v>8640</v>
      </c>
      <c r="I134">
        <v>0.1</v>
      </c>
      <c r="J134">
        <v>845.32</v>
      </c>
      <c r="K134" t="s">
        <v>26</v>
      </c>
      <c r="L134" t="s">
        <v>23</v>
      </c>
    </row>
    <row r="135" spans="1:12" x14ac:dyDescent="0.3">
      <c r="A135" t="s">
        <v>179</v>
      </c>
      <c r="B135" s="1">
        <v>45932</v>
      </c>
      <c r="C135" t="s">
        <v>28</v>
      </c>
      <c r="D135" t="s">
        <v>20</v>
      </c>
      <c r="E135" t="s">
        <v>39</v>
      </c>
      <c r="F135">
        <v>1</v>
      </c>
      <c r="G135">
        <v>2800</v>
      </c>
      <c r="H135">
        <v>2520</v>
      </c>
      <c r="I135">
        <v>0.1</v>
      </c>
      <c r="J135">
        <v>744.41</v>
      </c>
      <c r="K135" t="s">
        <v>16</v>
      </c>
      <c r="L135" t="s">
        <v>23</v>
      </c>
    </row>
    <row r="136" spans="1:12" x14ac:dyDescent="0.3">
      <c r="A136" t="s">
        <v>180</v>
      </c>
      <c r="B136" s="1">
        <v>45983</v>
      </c>
      <c r="C136" t="s">
        <v>28</v>
      </c>
      <c r="D136" t="s">
        <v>14</v>
      </c>
      <c r="E136" t="s">
        <v>43</v>
      </c>
      <c r="F136">
        <v>8</v>
      </c>
      <c r="G136">
        <v>65000</v>
      </c>
      <c r="H136">
        <v>442000</v>
      </c>
      <c r="I136">
        <v>0.15</v>
      </c>
      <c r="J136">
        <v>98072.82</v>
      </c>
      <c r="K136" t="s">
        <v>22</v>
      </c>
      <c r="L136" t="s">
        <v>23</v>
      </c>
    </row>
    <row r="137" spans="1:12" x14ac:dyDescent="0.3">
      <c r="A137" t="s">
        <v>181</v>
      </c>
      <c r="B137" s="1">
        <v>45926</v>
      </c>
      <c r="C137" t="s">
        <v>13</v>
      </c>
      <c r="D137" t="s">
        <v>14</v>
      </c>
      <c r="E137" t="s">
        <v>105</v>
      </c>
      <c r="F137">
        <v>7</v>
      </c>
      <c r="G137">
        <v>14000</v>
      </c>
      <c r="H137">
        <v>98000</v>
      </c>
      <c r="I137">
        <v>0</v>
      </c>
      <c r="J137">
        <v>36962.69</v>
      </c>
      <c r="K137" t="s">
        <v>22</v>
      </c>
      <c r="L137" t="s">
        <v>32</v>
      </c>
    </row>
    <row r="138" spans="1:12" x14ac:dyDescent="0.3">
      <c r="A138" t="s">
        <v>182</v>
      </c>
      <c r="B138" s="1">
        <v>45855</v>
      </c>
      <c r="C138" t="s">
        <v>56</v>
      </c>
      <c r="D138" t="s">
        <v>30</v>
      </c>
      <c r="E138" t="s">
        <v>82</v>
      </c>
      <c r="F138">
        <v>5</v>
      </c>
      <c r="G138">
        <v>250</v>
      </c>
      <c r="H138">
        <v>1250</v>
      </c>
      <c r="I138">
        <v>0</v>
      </c>
      <c r="J138">
        <v>263.29000000000002</v>
      </c>
      <c r="K138" t="s">
        <v>26</v>
      </c>
      <c r="L138" t="s">
        <v>23</v>
      </c>
    </row>
    <row r="139" spans="1:12" x14ac:dyDescent="0.3">
      <c r="A139" t="s">
        <v>183</v>
      </c>
      <c r="B139" s="1">
        <v>45770</v>
      </c>
      <c r="C139" t="s">
        <v>28</v>
      </c>
      <c r="D139" t="s">
        <v>14</v>
      </c>
      <c r="E139" t="s">
        <v>43</v>
      </c>
      <c r="F139">
        <v>6</v>
      </c>
      <c r="G139">
        <v>65000</v>
      </c>
      <c r="H139">
        <v>331500</v>
      </c>
      <c r="I139">
        <v>0.15</v>
      </c>
      <c r="J139">
        <v>46446.400000000001</v>
      </c>
      <c r="K139" t="s">
        <v>26</v>
      </c>
      <c r="L139" t="s">
        <v>23</v>
      </c>
    </row>
    <row r="140" spans="1:12" x14ac:dyDescent="0.3">
      <c r="A140" t="s">
        <v>184</v>
      </c>
      <c r="B140" s="1">
        <v>46011</v>
      </c>
      <c r="C140" t="s">
        <v>28</v>
      </c>
      <c r="D140" t="s">
        <v>14</v>
      </c>
      <c r="E140" t="s">
        <v>15</v>
      </c>
      <c r="F140">
        <v>9</v>
      </c>
      <c r="G140">
        <v>1200</v>
      </c>
      <c r="H140">
        <v>9180</v>
      </c>
      <c r="I140">
        <v>0.15</v>
      </c>
      <c r="J140">
        <v>2915.68</v>
      </c>
      <c r="K140" t="s">
        <v>26</v>
      </c>
      <c r="L140" t="s">
        <v>17</v>
      </c>
    </row>
    <row r="141" spans="1:12" x14ac:dyDescent="0.3">
      <c r="A141" t="s">
        <v>185</v>
      </c>
      <c r="B141" s="1">
        <v>45719</v>
      </c>
      <c r="C141" t="s">
        <v>35</v>
      </c>
      <c r="D141" t="s">
        <v>30</v>
      </c>
      <c r="E141" t="s">
        <v>82</v>
      </c>
      <c r="F141">
        <v>3</v>
      </c>
      <c r="G141">
        <v>250</v>
      </c>
      <c r="H141">
        <v>750</v>
      </c>
      <c r="I141">
        <v>0</v>
      </c>
      <c r="J141">
        <v>298.18</v>
      </c>
      <c r="K141" t="s">
        <v>26</v>
      </c>
      <c r="L141" t="s">
        <v>17</v>
      </c>
    </row>
    <row r="142" spans="1:12" x14ac:dyDescent="0.3">
      <c r="A142" t="s">
        <v>186</v>
      </c>
      <c r="B142" s="1">
        <v>45900</v>
      </c>
      <c r="C142" t="s">
        <v>56</v>
      </c>
      <c r="D142" t="s">
        <v>20</v>
      </c>
      <c r="E142" t="s">
        <v>97</v>
      </c>
      <c r="F142">
        <v>4</v>
      </c>
      <c r="G142">
        <v>400</v>
      </c>
      <c r="H142">
        <v>1600</v>
      </c>
      <c r="I142">
        <v>0</v>
      </c>
      <c r="J142">
        <v>391.65</v>
      </c>
      <c r="K142" t="s">
        <v>16</v>
      </c>
      <c r="L142" t="s">
        <v>17</v>
      </c>
    </row>
    <row r="143" spans="1:12" x14ac:dyDescent="0.3">
      <c r="A143" t="s">
        <v>187</v>
      </c>
      <c r="B143" s="1">
        <v>45773</v>
      </c>
      <c r="C143" t="s">
        <v>19</v>
      </c>
      <c r="D143" t="s">
        <v>36</v>
      </c>
      <c r="E143" t="s">
        <v>54</v>
      </c>
      <c r="F143">
        <v>9</v>
      </c>
      <c r="G143">
        <v>7000</v>
      </c>
      <c r="H143">
        <v>63000</v>
      </c>
      <c r="I143">
        <v>0</v>
      </c>
      <c r="J143">
        <v>11525.84</v>
      </c>
      <c r="K143" t="s">
        <v>26</v>
      </c>
      <c r="L143" t="s">
        <v>17</v>
      </c>
    </row>
    <row r="144" spans="1:12" x14ac:dyDescent="0.3">
      <c r="A144" t="s">
        <v>188</v>
      </c>
      <c r="B144" s="1">
        <v>45710</v>
      </c>
      <c r="C144" t="s">
        <v>28</v>
      </c>
      <c r="D144" t="s">
        <v>14</v>
      </c>
      <c r="E144" t="s">
        <v>15</v>
      </c>
      <c r="F144">
        <v>3</v>
      </c>
      <c r="G144">
        <v>1200</v>
      </c>
      <c r="H144">
        <v>3420</v>
      </c>
      <c r="I144">
        <v>0.05</v>
      </c>
      <c r="J144">
        <v>998.44</v>
      </c>
      <c r="K144" t="s">
        <v>26</v>
      </c>
      <c r="L144" t="s">
        <v>32</v>
      </c>
    </row>
    <row r="145" spans="1:12" x14ac:dyDescent="0.3">
      <c r="A145" t="s">
        <v>189</v>
      </c>
      <c r="B145" s="1">
        <v>46017</v>
      </c>
      <c r="C145" t="s">
        <v>56</v>
      </c>
      <c r="D145" t="s">
        <v>30</v>
      </c>
      <c r="E145" t="s">
        <v>45</v>
      </c>
      <c r="F145">
        <v>2</v>
      </c>
      <c r="G145">
        <v>180</v>
      </c>
      <c r="H145">
        <v>324</v>
      </c>
      <c r="I145">
        <v>0.1</v>
      </c>
      <c r="J145">
        <v>95.26</v>
      </c>
      <c r="K145" t="s">
        <v>22</v>
      </c>
      <c r="L145" t="s">
        <v>23</v>
      </c>
    </row>
    <row r="146" spans="1:12" x14ac:dyDescent="0.3">
      <c r="A146" t="s">
        <v>190</v>
      </c>
      <c r="B146" s="1">
        <v>45673</v>
      </c>
      <c r="C146" t="s">
        <v>19</v>
      </c>
      <c r="D146" t="s">
        <v>20</v>
      </c>
      <c r="E146" t="s">
        <v>84</v>
      </c>
      <c r="F146">
        <v>4</v>
      </c>
      <c r="G146">
        <v>3200</v>
      </c>
      <c r="H146">
        <v>10240</v>
      </c>
      <c r="I146">
        <v>0.2</v>
      </c>
      <c r="J146">
        <v>2499.92</v>
      </c>
      <c r="K146" t="s">
        <v>22</v>
      </c>
      <c r="L146" t="s">
        <v>32</v>
      </c>
    </row>
    <row r="147" spans="1:12" x14ac:dyDescent="0.3">
      <c r="A147" t="s">
        <v>191</v>
      </c>
      <c r="B147" s="1">
        <v>46007</v>
      </c>
      <c r="C147" t="s">
        <v>19</v>
      </c>
      <c r="D147" t="s">
        <v>30</v>
      </c>
      <c r="E147" t="s">
        <v>31</v>
      </c>
      <c r="F147">
        <v>5</v>
      </c>
      <c r="G147">
        <v>120</v>
      </c>
      <c r="H147">
        <v>540</v>
      </c>
      <c r="I147">
        <v>0.1</v>
      </c>
      <c r="J147">
        <v>51.45</v>
      </c>
      <c r="K147" t="s">
        <v>16</v>
      </c>
      <c r="L147" t="s">
        <v>17</v>
      </c>
    </row>
    <row r="148" spans="1:12" x14ac:dyDescent="0.3">
      <c r="A148" t="s">
        <v>192</v>
      </c>
      <c r="B148" s="1">
        <v>46008</v>
      </c>
      <c r="C148" t="s">
        <v>35</v>
      </c>
      <c r="D148" t="s">
        <v>36</v>
      </c>
      <c r="E148" t="s">
        <v>91</v>
      </c>
      <c r="F148">
        <v>6</v>
      </c>
      <c r="G148">
        <v>8500</v>
      </c>
      <c r="H148">
        <v>40800</v>
      </c>
      <c r="I148">
        <v>0.2</v>
      </c>
      <c r="J148">
        <v>4821.12</v>
      </c>
      <c r="K148" t="s">
        <v>16</v>
      </c>
      <c r="L148" t="s">
        <v>23</v>
      </c>
    </row>
    <row r="149" spans="1:12" x14ac:dyDescent="0.3">
      <c r="A149" t="s">
        <v>193</v>
      </c>
      <c r="B149" s="1">
        <v>45942</v>
      </c>
      <c r="C149" t="s">
        <v>13</v>
      </c>
      <c r="D149" t="s">
        <v>14</v>
      </c>
      <c r="E149" t="s">
        <v>25</v>
      </c>
      <c r="F149">
        <v>6</v>
      </c>
      <c r="G149">
        <v>3200</v>
      </c>
      <c r="H149">
        <v>18240</v>
      </c>
      <c r="I149">
        <v>0.05</v>
      </c>
      <c r="J149">
        <v>6633.6</v>
      </c>
      <c r="K149" t="s">
        <v>26</v>
      </c>
      <c r="L149" t="s">
        <v>23</v>
      </c>
    </row>
    <row r="150" spans="1:12" x14ac:dyDescent="0.3">
      <c r="A150" t="s">
        <v>194</v>
      </c>
      <c r="B150" s="1">
        <v>45987</v>
      </c>
      <c r="C150" t="s">
        <v>13</v>
      </c>
      <c r="D150" t="s">
        <v>14</v>
      </c>
      <c r="E150" t="s">
        <v>25</v>
      </c>
      <c r="F150">
        <v>1</v>
      </c>
      <c r="G150">
        <v>3200</v>
      </c>
      <c r="H150">
        <v>2880</v>
      </c>
      <c r="I150">
        <v>0.1</v>
      </c>
      <c r="J150">
        <v>717.62</v>
      </c>
      <c r="K150" t="s">
        <v>22</v>
      </c>
      <c r="L150" t="s">
        <v>23</v>
      </c>
    </row>
    <row r="151" spans="1:12" x14ac:dyDescent="0.3">
      <c r="A151" t="s">
        <v>195</v>
      </c>
      <c r="B151" s="1">
        <v>45840</v>
      </c>
      <c r="C151" t="s">
        <v>56</v>
      </c>
      <c r="D151" t="s">
        <v>36</v>
      </c>
      <c r="E151" t="s">
        <v>37</v>
      </c>
      <c r="F151">
        <v>7</v>
      </c>
      <c r="G151">
        <v>1800</v>
      </c>
      <c r="H151">
        <v>12600</v>
      </c>
      <c r="I151">
        <v>0</v>
      </c>
      <c r="J151">
        <v>3241.77</v>
      </c>
      <c r="K151" t="s">
        <v>26</v>
      </c>
      <c r="L151" t="s">
        <v>32</v>
      </c>
    </row>
    <row r="152" spans="1:12" x14ac:dyDescent="0.3">
      <c r="A152" t="s">
        <v>196</v>
      </c>
      <c r="B152" s="1">
        <v>45893</v>
      </c>
      <c r="C152" t="s">
        <v>56</v>
      </c>
      <c r="D152" t="s">
        <v>36</v>
      </c>
      <c r="E152" t="s">
        <v>37</v>
      </c>
      <c r="F152">
        <v>4</v>
      </c>
      <c r="G152">
        <v>1800</v>
      </c>
      <c r="H152">
        <v>5760</v>
      </c>
      <c r="I152">
        <v>0.2</v>
      </c>
      <c r="J152">
        <v>1396.42</v>
      </c>
      <c r="K152" t="s">
        <v>22</v>
      </c>
      <c r="L152" t="s">
        <v>32</v>
      </c>
    </row>
    <row r="153" spans="1:12" x14ac:dyDescent="0.3">
      <c r="A153" t="s">
        <v>197</v>
      </c>
      <c r="B153" s="1">
        <v>45725</v>
      </c>
      <c r="C153" t="s">
        <v>28</v>
      </c>
      <c r="D153" t="s">
        <v>20</v>
      </c>
      <c r="E153" t="s">
        <v>97</v>
      </c>
      <c r="F153">
        <v>3</v>
      </c>
      <c r="G153">
        <v>400</v>
      </c>
      <c r="H153">
        <v>1080</v>
      </c>
      <c r="I153">
        <v>0.1</v>
      </c>
      <c r="J153">
        <v>127.69</v>
      </c>
      <c r="K153" t="s">
        <v>16</v>
      </c>
      <c r="L153" t="s">
        <v>17</v>
      </c>
    </row>
    <row r="154" spans="1:12" x14ac:dyDescent="0.3">
      <c r="A154" t="s">
        <v>198</v>
      </c>
      <c r="B154" s="1">
        <v>45942</v>
      </c>
      <c r="C154" t="s">
        <v>35</v>
      </c>
      <c r="D154" t="s">
        <v>30</v>
      </c>
      <c r="E154" t="s">
        <v>82</v>
      </c>
      <c r="F154">
        <v>5</v>
      </c>
      <c r="G154">
        <v>250</v>
      </c>
      <c r="H154">
        <v>1125</v>
      </c>
      <c r="I154">
        <v>0.1</v>
      </c>
      <c r="J154">
        <v>340.92</v>
      </c>
      <c r="K154" t="s">
        <v>22</v>
      </c>
      <c r="L154" t="s">
        <v>32</v>
      </c>
    </row>
    <row r="155" spans="1:12" x14ac:dyDescent="0.3">
      <c r="A155" t="s">
        <v>199</v>
      </c>
      <c r="B155" s="1">
        <v>45951</v>
      </c>
      <c r="C155" t="s">
        <v>35</v>
      </c>
      <c r="D155" t="s">
        <v>20</v>
      </c>
      <c r="E155" t="s">
        <v>21</v>
      </c>
      <c r="F155">
        <v>6</v>
      </c>
      <c r="G155">
        <v>650</v>
      </c>
      <c r="H155">
        <v>3900</v>
      </c>
      <c r="I155">
        <v>0</v>
      </c>
      <c r="J155">
        <v>1114.8499999999999</v>
      </c>
      <c r="K155" t="s">
        <v>26</v>
      </c>
      <c r="L155" t="s">
        <v>23</v>
      </c>
    </row>
    <row r="156" spans="1:12" x14ac:dyDescent="0.3">
      <c r="A156" t="s">
        <v>200</v>
      </c>
      <c r="B156" s="1">
        <v>45753</v>
      </c>
      <c r="C156" t="s">
        <v>56</v>
      </c>
      <c r="D156" t="s">
        <v>36</v>
      </c>
      <c r="E156" t="s">
        <v>54</v>
      </c>
      <c r="F156">
        <v>9</v>
      </c>
      <c r="G156">
        <v>7000</v>
      </c>
      <c r="H156">
        <v>63000</v>
      </c>
      <c r="I156">
        <v>0</v>
      </c>
      <c r="J156">
        <v>13793.03</v>
      </c>
      <c r="K156" t="s">
        <v>26</v>
      </c>
      <c r="L156" t="s">
        <v>32</v>
      </c>
    </row>
    <row r="157" spans="1:12" x14ac:dyDescent="0.3">
      <c r="A157" t="s">
        <v>201</v>
      </c>
      <c r="B157" s="1">
        <v>45679</v>
      </c>
      <c r="C157" t="s">
        <v>19</v>
      </c>
      <c r="D157" t="s">
        <v>36</v>
      </c>
      <c r="E157" t="s">
        <v>37</v>
      </c>
      <c r="F157">
        <v>5</v>
      </c>
      <c r="G157">
        <v>12000</v>
      </c>
      <c r="H157">
        <v>51000</v>
      </c>
      <c r="I157">
        <v>0.15</v>
      </c>
      <c r="J157">
        <v>11418.7</v>
      </c>
      <c r="K157" t="s">
        <v>16</v>
      </c>
      <c r="L157" t="s">
        <v>23</v>
      </c>
    </row>
    <row r="158" spans="1:12" x14ac:dyDescent="0.3">
      <c r="A158" t="s">
        <v>202</v>
      </c>
      <c r="B158" s="1">
        <v>45830</v>
      </c>
      <c r="C158" t="s">
        <v>56</v>
      </c>
      <c r="D158" t="s">
        <v>14</v>
      </c>
      <c r="E158" t="s">
        <v>25</v>
      </c>
      <c r="F158">
        <v>1</v>
      </c>
      <c r="G158">
        <v>3200</v>
      </c>
      <c r="H158">
        <v>3040</v>
      </c>
      <c r="I158">
        <v>0.05</v>
      </c>
      <c r="J158">
        <v>559.77</v>
      </c>
      <c r="K158" t="s">
        <v>26</v>
      </c>
      <c r="L158" t="s">
        <v>17</v>
      </c>
    </row>
    <row r="159" spans="1:12" x14ac:dyDescent="0.3">
      <c r="A159" t="s">
        <v>203</v>
      </c>
      <c r="B159" s="1">
        <v>45719</v>
      </c>
      <c r="C159" t="s">
        <v>56</v>
      </c>
      <c r="D159" t="s">
        <v>20</v>
      </c>
      <c r="E159" t="s">
        <v>97</v>
      </c>
      <c r="F159">
        <v>7</v>
      </c>
      <c r="G159">
        <v>400</v>
      </c>
      <c r="H159">
        <v>2800</v>
      </c>
      <c r="I159">
        <v>0</v>
      </c>
      <c r="J159">
        <v>1169.53</v>
      </c>
      <c r="K159" t="s">
        <v>16</v>
      </c>
      <c r="L159" t="s">
        <v>32</v>
      </c>
    </row>
    <row r="160" spans="1:12" x14ac:dyDescent="0.3">
      <c r="A160" t="s">
        <v>204</v>
      </c>
      <c r="B160" s="1">
        <v>46002</v>
      </c>
      <c r="C160" t="s">
        <v>19</v>
      </c>
      <c r="D160" t="s">
        <v>36</v>
      </c>
      <c r="E160" t="s">
        <v>54</v>
      </c>
      <c r="F160">
        <v>10</v>
      </c>
      <c r="G160">
        <v>7000</v>
      </c>
      <c r="H160">
        <v>66500</v>
      </c>
      <c r="I160">
        <v>0.05</v>
      </c>
      <c r="J160">
        <v>10060.56</v>
      </c>
      <c r="K160" t="s">
        <v>22</v>
      </c>
      <c r="L160" t="s">
        <v>17</v>
      </c>
    </row>
    <row r="161" spans="1:12" x14ac:dyDescent="0.3">
      <c r="A161" t="s">
        <v>205</v>
      </c>
      <c r="B161" s="1">
        <v>45923</v>
      </c>
      <c r="C161" t="s">
        <v>56</v>
      </c>
      <c r="D161" t="s">
        <v>30</v>
      </c>
      <c r="E161" t="s">
        <v>82</v>
      </c>
      <c r="F161">
        <v>10</v>
      </c>
      <c r="G161">
        <v>250</v>
      </c>
      <c r="H161">
        <v>2375</v>
      </c>
      <c r="I161">
        <v>0.05</v>
      </c>
      <c r="J161">
        <v>476.05</v>
      </c>
      <c r="K161" t="s">
        <v>16</v>
      </c>
      <c r="L161" t="s">
        <v>32</v>
      </c>
    </row>
    <row r="162" spans="1:12" x14ac:dyDescent="0.3">
      <c r="A162" t="s">
        <v>206</v>
      </c>
      <c r="B162" s="1">
        <v>45974</v>
      </c>
      <c r="C162" t="s">
        <v>19</v>
      </c>
      <c r="D162" t="s">
        <v>30</v>
      </c>
      <c r="E162" t="s">
        <v>47</v>
      </c>
      <c r="F162">
        <v>7</v>
      </c>
      <c r="G162">
        <v>450</v>
      </c>
      <c r="H162">
        <v>3150</v>
      </c>
      <c r="I162">
        <v>0</v>
      </c>
      <c r="J162">
        <v>1264.95</v>
      </c>
      <c r="K162" t="s">
        <v>26</v>
      </c>
      <c r="L162" t="s">
        <v>17</v>
      </c>
    </row>
    <row r="163" spans="1:12" x14ac:dyDescent="0.3">
      <c r="A163" t="s">
        <v>207</v>
      </c>
      <c r="B163" s="1">
        <v>45679</v>
      </c>
      <c r="C163" t="s">
        <v>19</v>
      </c>
      <c r="D163" t="s">
        <v>14</v>
      </c>
      <c r="E163" t="s">
        <v>25</v>
      </c>
      <c r="F163">
        <v>9</v>
      </c>
      <c r="G163">
        <v>3200</v>
      </c>
      <c r="H163">
        <v>28800</v>
      </c>
      <c r="I163">
        <v>0</v>
      </c>
      <c r="J163">
        <v>12419.48</v>
      </c>
      <c r="K163" t="s">
        <v>16</v>
      </c>
      <c r="L163" t="s">
        <v>32</v>
      </c>
    </row>
    <row r="164" spans="1:12" x14ac:dyDescent="0.3">
      <c r="A164" t="s">
        <v>208</v>
      </c>
      <c r="B164" s="1">
        <v>45713</v>
      </c>
      <c r="C164" t="s">
        <v>35</v>
      </c>
      <c r="D164" t="s">
        <v>14</v>
      </c>
      <c r="E164" t="s">
        <v>43</v>
      </c>
      <c r="F164">
        <v>8</v>
      </c>
      <c r="G164">
        <v>65000</v>
      </c>
      <c r="H164">
        <v>520000</v>
      </c>
      <c r="I164">
        <v>0</v>
      </c>
      <c r="J164">
        <v>125981.9</v>
      </c>
      <c r="K164" t="s">
        <v>22</v>
      </c>
      <c r="L164" t="s">
        <v>32</v>
      </c>
    </row>
    <row r="165" spans="1:12" x14ac:dyDescent="0.3">
      <c r="A165" t="s">
        <v>209</v>
      </c>
      <c r="B165" s="1">
        <v>45760</v>
      </c>
      <c r="C165" t="s">
        <v>56</v>
      </c>
      <c r="D165" t="s">
        <v>36</v>
      </c>
      <c r="E165" t="s">
        <v>37</v>
      </c>
      <c r="F165">
        <v>4</v>
      </c>
      <c r="G165">
        <v>1800</v>
      </c>
      <c r="H165">
        <v>7200</v>
      </c>
      <c r="I165">
        <v>0</v>
      </c>
      <c r="J165">
        <v>3164.59</v>
      </c>
      <c r="K165" t="s">
        <v>26</v>
      </c>
      <c r="L165" t="s">
        <v>17</v>
      </c>
    </row>
    <row r="166" spans="1:12" x14ac:dyDescent="0.3">
      <c r="A166" t="s">
        <v>210</v>
      </c>
      <c r="B166" s="1">
        <v>46021</v>
      </c>
      <c r="C166" t="s">
        <v>35</v>
      </c>
      <c r="D166" t="s">
        <v>20</v>
      </c>
      <c r="E166" t="s">
        <v>21</v>
      </c>
      <c r="F166">
        <v>9</v>
      </c>
      <c r="G166">
        <v>650</v>
      </c>
      <c r="H166">
        <v>4680</v>
      </c>
      <c r="I166">
        <v>0.2</v>
      </c>
      <c r="J166">
        <v>248.08</v>
      </c>
      <c r="K166" t="s">
        <v>22</v>
      </c>
      <c r="L166" t="s">
        <v>32</v>
      </c>
    </row>
    <row r="167" spans="1:12" x14ac:dyDescent="0.3">
      <c r="A167" t="s">
        <v>211</v>
      </c>
      <c r="B167" s="1">
        <v>45919</v>
      </c>
      <c r="C167" t="s">
        <v>28</v>
      </c>
      <c r="D167" t="s">
        <v>30</v>
      </c>
      <c r="E167" t="s">
        <v>45</v>
      </c>
      <c r="F167">
        <v>4</v>
      </c>
      <c r="G167">
        <v>180</v>
      </c>
      <c r="H167">
        <v>684</v>
      </c>
      <c r="I167">
        <v>0.05</v>
      </c>
      <c r="J167">
        <v>-31.81</v>
      </c>
      <c r="K167" t="s">
        <v>22</v>
      </c>
      <c r="L167" t="s">
        <v>32</v>
      </c>
    </row>
    <row r="168" spans="1:12" x14ac:dyDescent="0.3">
      <c r="A168" t="s">
        <v>212</v>
      </c>
      <c r="B168" s="1">
        <v>45857</v>
      </c>
      <c r="C168" t="s">
        <v>28</v>
      </c>
      <c r="D168" t="s">
        <v>30</v>
      </c>
      <c r="E168" t="s">
        <v>31</v>
      </c>
      <c r="F168">
        <v>4</v>
      </c>
      <c r="G168">
        <v>120</v>
      </c>
      <c r="H168">
        <v>480</v>
      </c>
      <c r="I168">
        <v>0</v>
      </c>
      <c r="J168">
        <v>92.91</v>
      </c>
      <c r="K168" t="s">
        <v>26</v>
      </c>
      <c r="L168" t="s">
        <v>32</v>
      </c>
    </row>
    <row r="169" spans="1:12" x14ac:dyDescent="0.3">
      <c r="A169" t="s">
        <v>213</v>
      </c>
      <c r="B169" s="1">
        <v>45960</v>
      </c>
      <c r="C169" t="s">
        <v>28</v>
      </c>
      <c r="D169" t="s">
        <v>20</v>
      </c>
      <c r="E169" t="s">
        <v>21</v>
      </c>
      <c r="F169">
        <v>2</v>
      </c>
      <c r="G169">
        <v>650</v>
      </c>
      <c r="H169">
        <v>1235</v>
      </c>
      <c r="I169">
        <v>0.05</v>
      </c>
      <c r="J169">
        <v>201.17</v>
      </c>
      <c r="K169" t="s">
        <v>22</v>
      </c>
      <c r="L169" t="s">
        <v>32</v>
      </c>
    </row>
    <row r="170" spans="1:12" x14ac:dyDescent="0.3">
      <c r="A170" t="s">
        <v>214</v>
      </c>
      <c r="B170" s="1">
        <v>45734</v>
      </c>
      <c r="C170" t="s">
        <v>13</v>
      </c>
      <c r="D170" t="s">
        <v>36</v>
      </c>
      <c r="E170" t="s">
        <v>37</v>
      </c>
      <c r="F170">
        <v>8</v>
      </c>
      <c r="G170">
        <v>1800</v>
      </c>
      <c r="H170">
        <v>14400</v>
      </c>
      <c r="I170">
        <v>0</v>
      </c>
      <c r="J170">
        <v>4492.51</v>
      </c>
      <c r="K170" t="s">
        <v>26</v>
      </c>
      <c r="L170" t="s">
        <v>23</v>
      </c>
    </row>
    <row r="171" spans="1:12" x14ac:dyDescent="0.3">
      <c r="A171" t="s">
        <v>215</v>
      </c>
      <c r="B171" s="1">
        <v>45974</v>
      </c>
      <c r="C171" t="s">
        <v>28</v>
      </c>
      <c r="D171" t="s">
        <v>14</v>
      </c>
      <c r="E171" t="s">
        <v>15</v>
      </c>
      <c r="F171">
        <v>8</v>
      </c>
      <c r="G171">
        <v>1200</v>
      </c>
      <c r="H171">
        <v>8160</v>
      </c>
      <c r="I171">
        <v>0.15</v>
      </c>
      <c r="J171">
        <v>1007.94</v>
      </c>
      <c r="K171" t="s">
        <v>22</v>
      </c>
      <c r="L171" t="s">
        <v>17</v>
      </c>
    </row>
    <row r="172" spans="1:12" x14ac:dyDescent="0.3">
      <c r="A172" t="s">
        <v>216</v>
      </c>
      <c r="B172" s="1">
        <v>45907</v>
      </c>
      <c r="C172" t="s">
        <v>56</v>
      </c>
      <c r="D172" t="s">
        <v>14</v>
      </c>
      <c r="E172" t="s">
        <v>25</v>
      </c>
      <c r="F172">
        <v>4</v>
      </c>
      <c r="G172">
        <v>3200</v>
      </c>
      <c r="H172">
        <v>12800</v>
      </c>
      <c r="I172">
        <v>0</v>
      </c>
      <c r="J172">
        <v>4062.13</v>
      </c>
      <c r="K172" t="s">
        <v>16</v>
      </c>
      <c r="L172" t="s">
        <v>23</v>
      </c>
    </row>
    <row r="173" spans="1:12" x14ac:dyDescent="0.3">
      <c r="A173" t="s">
        <v>217</v>
      </c>
      <c r="B173" s="1">
        <v>45962</v>
      </c>
      <c r="C173" t="s">
        <v>13</v>
      </c>
      <c r="D173" t="s">
        <v>14</v>
      </c>
      <c r="E173" t="s">
        <v>15</v>
      </c>
      <c r="F173">
        <v>9</v>
      </c>
      <c r="G173">
        <v>1200</v>
      </c>
      <c r="H173">
        <v>10800</v>
      </c>
      <c r="I173">
        <v>0</v>
      </c>
      <c r="J173">
        <v>4465.34</v>
      </c>
      <c r="K173" t="s">
        <v>22</v>
      </c>
      <c r="L173" t="s">
        <v>23</v>
      </c>
    </row>
    <row r="174" spans="1:12" x14ac:dyDescent="0.3">
      <c r="A174" t="s">
        <v>218</v>
      </c>
      <c r="B174" s="1">
        <v>45936</v>
      </c>
      <c r="C174" t="s">
        <v>19</v>
      </c>
      <c r="D174" t="s">
        <v>20</v>
      </c>
      <c r="E174" t="s">
        <v>84</v>
      </c>
      <c r="F174">
        <v>7</v>
      </c>
      <c r="G174">
        <v>3200</v>
      </c>
      <c r="H174">
        <v>20160</v>
      </c>
      <c r="I174">
        <v>0.1</v>
      </c>
      <c r="J174">
        <v>2858.06</v>
      </c>
      <c r="K174" t="s">
        <v>22</v>
      </c>
      <c r="L174" t="s">
        <v>23</v>
      </c>
    </row>
    <row r="175" spans="1:12" x14ac:dyDescent="0.3">
      <c r="A175" t="s">
        <v>219</v>
      </c>
      <c r="B175" s="1">
        <v>45923</v>
      </c>
      <c r="C175" t="s">
        <v>28</v>
      </c>
      <c r="D175" t="s">
        <v>20</v>
      </c>
      <c r="E175" t="s">
        <v>39</v>
      </c>
      <c r="F175">
        <v>6</v>
      </c>
      <c r="G175">
        <v>2800</v>
      </c>
      <c r="H175">
        <v>16800</v>
      </c>
      <c r="I175">
        <v>0</v>
      </c>
      <c r="J175">
        <v>5769.79</v>
      </c>
      <c r="K175" t="s">
        <v>26</v>
      </c>
      <c r="L175" t="s">
        <v>17</v>
      </c>
    </row>
    <row r="176" spans="1:12" x14ac:dyDescent="0.3">
      <c r="A176" t="s">
        <v>220</v>
      </c>
      <c r="B176" s="1">
        <v>45718</v>
      </c>
      <c r="C176" t="s">
        <v>35</v>
      </c>
      <c r="D176" t="s">
        <v>20</v>
      </c>
      <c r="E176" t="s">
        <v>39</v>
      </c>
      <c r="F176">
        <v>5</v>
      </c>
      <c r="G176">
        <v>2800</v>
      </c>
      <c r="H176">
        <v>11900</v>
      </c>
      <c r="I176">
        <v>0.15</v>
      </c>
      <c r="J176">
        <v>1460.01</v>
      </c>
      <c r="K176" t="s">
        <v>16</v>
      </c>
      <c r="L176" t="s">
        <v>17</v>
      </c>
    </row>
    <row r="177" spans="1:12" x14ac:dyDescent="0.3">
      <c r="A177" t="s">
        <v>221</v>
      </c>
      <c r="B177" s="1">
        <v>45866</v>
      </c>
      <c r="C177" t="s">
        <v>35</v>
      </c>
      <c r="D177" t="s">
        <v>36</v>
      </c>
      <c r="E177" t="s">
        <v>37</v>
      </c>
      <c r="F177">
        <v>5</v>
      </c>
      <c r="G177">
        <v>1800</v>
      </c>
      <c r="H177">
        <v>9000</v>
      </c>
      <c r="I177">
        <v>0</v>
      </c>
      <c r="J177">
        <v>2071.09</v>
      </c>
      <c r="K177" t="s">
        <v>22</v>
      </c>
      <c r="L177" t="s">
        <v>17</v>
      </c>
    </row>
    <row r="178" spans="1:12" x14ac:dyDescent="0.3">
      <c r="A178" t="s">
        <v>222</v>
      </c>
      <c r="B178" s="1">
        <v>45726</v>
      </c>
      <c r="C178" t="s">
        <v>19</v>
      </c>
      <c r="D178" t="s">
        <v>36</v>
      </c>
      <c r="E178" t="s">
        <v>91</v>
      </c>
      <c r="F178">
        <v>10</v>
      </c>
      <c r="G178">
        <v>8500</v>
      </c>
      <c r="H178">
        <v>85000</v>
      </c>
      <c r="I178">
        <v>0</v>
      </c>
      <c r="J178">
        <v>37909.57</v>
      </c>
      <c r="K178" t="s">
        <v>22</v>
      </c>
      <c r="L178" t="s">
        <v>17</v>
      </c>
    </row>
    <row r="179" spans="1:12" x14ac:dyDescent="0.3">
      <c r="A179" t="s">
        <v>223</v>
      </c>
      <c r="B179" s="1">
        <v>45897</v>
      </c>
      <c r="C179" t="s">
        <v>56</v>
      </c>
      <c r="D179" t="s">
        <v>36</v>
      </c>
      <c r="E179" t="s">
        <v>91</v>
      </c>
      <c r="F179">
        <v>5</v>
      </c>
      <c r="G179">
        <v>8500</v>
      </c>
      <c r="H179">
        <v>42500</v>
      </c>
      <c r="I179">
        <v>0</v>
      </c>
      <c r="J179">
        <v>14495.08</v>
      </c>
      <c r="K179" t="s">
        <v>16</v>
      </c>
      <c r="L179" t="s">
        <v>17</v>
      </c>
    </row>
    <row r="180" spans="1:12" x14ac:dyDescent="0.3">
      <c r="A180" t="s">
        <v>224</v>
      </c>
      <c r="B180" s="1">
        <v>45935</v>
      </c>
      <c r="C180" t="s">
        <v>13</v>
      </c>
      <c r="D180" t="s">
        <v>30</v>
      </c>
      <c r="E180" t="s">
        <v>31</v>
      </c>
      <c r="F180">
        <v>7</v>
      </c>
      <c r="G180">
        <v>120</v>
      </c>
      <c r="H180">
        <v>840</v>
      </c>
      <c r="I180">
        <v>0</v>
      </c>
      <c r="J180">
        <v>179.09</v>
      </c>
      <c r="K180" t="s">
        <v>16</v>
      </c>
      <c r="L180" t="s">
        <v>17</v>
      </c>
    </row>
    <row r="181" spans="1:12" x14ac:dyDescent="0.3">
      <c r="A181" t="s">
        <v>225</v>
      </c>
      <c r="B181" s="1">
        <v>45932</v>
      </c>
      <c r="C181" t="s">
        <v>56</v>
      </c>
      <c r="D181" t="s">
        <v>20</v>
      </c>
      <c r="E181" t="s">
        <v>84</v>
      </c>
      <c r="F181">
        <v>5</v>
      </c>
      <c r="G181">
        <v>3200</v>
      </c>
      <c r="H181">
        <v>16000</v>
      </c>
      <c r="I181">
        <v>0</v>
      </c>
      <c r="J181">
        <v>5848.66</v>
      </c>
      <c r="K181" t="s">
        <v>22</v>
      </c>
      <c r="L181" t="s">
        <v>32</v>
      </c>
    </row>
    <row r="182" spans="1:12" x14ac:dyDescent="0.3">
      <c r="A182" t="s">
        <v>226</v>
      </c>
      <c r="B182" s="1">
        <v>45881</v>
      </c>
      <c r="C182" t="s">
        <v>28</v>
      </c>
      <c r="D182" t="s">
        <v>36</v>
      </c>
      <c r="E182" t="s">
        <v>37</v>
      </c>
      <c r="F182">
        <v>6</v>
      </c>
      <c r="G182">
        <v>12000</v>
      </c>
      <c r="H182">
        <v>72000</v>
      </c>
      <c r="I182">
        <v>0</v>
      </c>
      <c r="J182">
        <v>24933.09</v>
      </c>
      <c r="K182" t="s">
        <v>16</v>
      </c>
      <c r="L182" t="s">
        <v>23</v>
      </c>
    </row>
    <row r="183" spans="1:12" x14ac:dyDescent="0.3">
      <c r="A183" t="s">
        <v>227</v>
      </c>
      <c r="B183" s="1">
        <v>45706</v>
      </c>
      <c r="C183" t="s">
        <v>13</v>
      </c>
      <c r="D183" t="s">
        <v>36</v>
      </c>
      <c r="E183" t="s">
        <v>37</v>
      </c>
      <c r="F183">
        <v>7</v>
      </c>
      <c r="G183">
        <v>1800</v>
      </c>
      <c r="H183">
        <v>10080</v>
      </c>
      <c r="I183">
        <v>0.2</v>
      </c>
      <c r="J183">
        <v>3038.25</v>
      </c>
      <c r="K183" t="s">
        <v>26</v>
      </c>
      <c r="L183" t="s">
        <v>17</v>
      </c>
    </row>
    <row r="184" spans="1:12" x14ac:dyDescent="0.3">
      <c r="A184" t="s">
        <v>228</v>
      </c>
      <c r="B184" s="1">
        <v>45689</v>
      </c>
      <c r="C184" t="s">
        <v>35</v>
      </c>
      <c r="D184" t="s">
        <v>14</v>
      </c>
      <c r="E184" t="s">
        <v>105</v>
      </c>
      <c r="F184">
        <v>2</v>
      </c>
      <c r="G184">
        <v>14000</v>
      </c>
      <c r="H184">
        <v>28000</v>
      </c>
      <c r="I184">
        <v>0</v>
      </c>
      <c r="J184">
        <v>8603.7199999999993</v>
      </c>
      <c r="K184" t="s">
        <v>22</v>
      </c>
      <c r="L184" t="s">
        <v>32</v>
      </c>
    </row>
    <row r="185" spans="1:12" x14ac:dyDescent="0.3">
      <c r="A185" t="s">
        <v>229</v>
      </c>
      <c r="B185" s="1">
        <v>45954</v>
      </c>
      <c r="C185" t="s">
        <v>35</v>
      </c>
      <c r="D185" t="s">
        <v>36</v>
      </c>
      <c r="E185" t="s">
        <v>37</v>
      </c>
      <c r="F185">
        <v>4</v>
      </c>
      <c r="G185">
        <v>12000</v>
      </c>
      <c r="H185">
        <v>40800</v>
      </c>
      <c r="I185">
        <v>0.15</v>
      </c>
      <c r="J185">
        <v>9156.43</v>
      </c>
      <c r="K185" t="s">
        <v>16</v>
      </c>
      <c r="L185" t="s">
        <v>23</v>
      </c>
    </row>
    <row r="186" spans="1:12" x14ac:dyDescent="0.3">
      <c r="A186" t="s">
        <v>230</v>
      </c>
      <c r="B186" s="1">
        <v>45821</v>
      </c>
      <c r="C186" t="s">
        <v>19</v>
      </c>
      <c r="D186" t="s">
        <v>36</v>
      </c>
      <c r="E186" t="s">
        <v>54</v>
      </c>
      <c r="F186">
        <v>4</v>
      </c>
      <c r="G186">
        <v>7000</v>
      </c>
      <c r="H186">
        <v>28000</v>
      </c>
      <c r="I186">
        <v>0</v>
      </c>
      <c r="J186">
        <v>8890.17</v>
      </c>
      <c r="K186" t="s">
        <v>22</v>
      </c>
      <c r="L186" t="s">
        <v>32</v>
      </c>
    </row>
    <row r="187" spans="1:12" x14ac:dyDescent="0.3">
      <c r="A187" t="s">
        <v>231</v>
      </c>
      <c r="B187" s="1">
        <v>45685</v>
      </c>
      <c r="C187" t="s">
        <v>35</v>
      </c>
      <c r="D187" t="s">
        <v>36</v>
      </c>
      <c r="E187" t="s">
        <v>54</v>
      </c>
      <c r="F187">
        <v>2</v>
      </c>
      <c r="G187">
        <v>7000</v>
      </c>
      <c r="H187">
        <v>14000</v>
      </c>
      <c r="I187">
        <v>0</v>
      </c>
      <c r="J187">
        <v>3538.56</v>
      </c>
      <c r="K187" t="s">
        <v>22</v>
      </c>
      <c r="L187" t="s">
        <v>17</v>
      </c>
    </row>
    <row r="188" spans="1:12" x14ac:dyDescent="0.3">
      <c r="A188" t="s">
        <v>232</v>
      </c>
      <c r="B188" s="1">
        <v>45796</v>
      </c>
      <c r="C188" t="s">
        <v>28</v>
      </c>
      <c r="D188" t="s">
        <v>20</v>
      </c>
      <c r="E188" t="s">
        <v>84</v>
      </c>
      <c r="F188">
        <v>8</v>
      </c>
      <c r="G188">
        <v>3200</v>
      </c>
      <c r="H188">
        <v>25600</v>
      </c>
      <c r="I188">
        <v>0</v>
      </c>
      <c r="J188">
        <v>4890.41</v>
      </c>
      <c r="K188" t="s">
        <v>22</v>
      </c>
      <c r="L188" t="s">
        <v>17</v>
      </c>
    </row>
    <row r="189" spans="1:12" x14ac:dyDescent="0.3">
      <c r="A189" t="s">
        <v>233</v>
      </c>
      <c r="B189" s="1">
        <v>45993</v>
      </c>
      <c r="C189" t="s">
        <v>35</v>
      </c>
      <c r="D189" t="s">
        <v>30</v>
      </c>
      <c r="E189" t="s">
        <v>31</v>
      </c>
      <c r="F189">
        <v>7</v>
      </c>
      <c r="G189">
        <v>120</v>
      </c>
      <c r="H189">
        <v>798</v>
      </c>
      <c r="I189">
        <v>0.05</v>
      </c>
      <c r="J189">
        <v>-130.24</v>
      </c>
      <c r="K189" t="s">
        <v>16</v>
      </c>
      <c r="L189" t="s">
        <v>32</v>
      </c>
    </row>
    <row r="190" spans="1:12" x14ac:dyDescent="0.3">
      <c r="A190" t="s">
        <v>234</v>
      </c>
      <c r="B190" s="1">
        <v>45757</v>
      </c>
      <c r="C190" t="s">
        <v>56</v>
      </c>
      <c r="D190" t="s">
        <v>14</v>
      </c>
      <c r="E190" t="s">
        <v>15</v>
      </c>
      <c r="F190">
        <v>5</v>
      </c>
      <c r="G190">
        <v>1200</v>
      </c>
      <c r="H190">
        <v>6000</v>
      </c>
      <c r="I190">
        <v>0</v>
      </c>
      <c r="J190">
        <v>2524.5300000000002</v>
      </c>
      <c r="K190" t="s">
        <v>22</v>
      </c>
      <c r="L190" t="s">
        <v>32</v>
      </c>
    </row>
    <row r="191" spans="1:12" x14ac:dyDescent="0.3">
      <c r="A191" t="s">
        <v>235</v>
      </c>
      <c r="B191" s="1">
        <v>45846</v>
      </c>
      <c r="C191" t="s">
        <v>56</v>
      </c>
      <c r="D191" t="s">
        <v>30</v>
      </c>
      <c r="E191" t="s">
        <v>31</v>
      </c>
      <c r="F191">
        <v>3</v>
      </c>
      <c r="G191">
        <v>120</v>
      </c>
      <c r="H191">
        <v>360</v>
      </c>
      <c r="I191">
        <v>0</v>
      </c>
      <c r="J191">
        <v>127.54</v>
      </c>
      <c r="K191" t="s">
        <v>22</v>
      </c>
      <c r="L191" t="s">
        <v>23</v>
      </c>
    </row>
    <row r="192" spans="1:12" x14ac:dyDescent="0.3">
      <c r="A192" t="s">
        <v>236</v>
      </c>
      <c r="B192" s="1">
        <v>45948</v>
      </c>
      <c r="C192" t="s">
        <v>56</v>
      </c>
      <c r="D192" t="s">
        <v>36</v>
      </c>
      <c r="E192" t="s">
        <v>54</v>
      </c>
      <c r="F192">
        <v>2</v>
      </c>
      <c r="G192">
        <v>7000</v>
      </c>
      <c r="H192">
        <v>11900</v>
      </c>
      <c r="I192">
        <v>0.15</v>
      </c>
      <c r="J192">
        <v>473.7</v>
      </c>
      <c r="K192" t="s">
        <v>16</v>
      </c>
      <c r="L192" t="s">
        <v>32</v>
      </c>
    </row>
    <row r="193" spans="1:12" x14ac:dyDescent="0.3">
      <c r="A193" t="s">
        <v>237</v>
      </c>
      <c r="B193" s="1">
        <v>45716</v>
      </c>
      <c r="C193" t="s">
        <v>28</v>
      </c>
      <c r="D193" t="s">
        <v>36</v>
      </c>
      <c r="E193" t="s">
        <v>37</v>
      </c>
      <c r="F193">
        <v>2</v>
      </c>
      <c r="G193">
        <v>1800</v>
      </c>
      <c r="H193">
        <v>3600</v>
      </c>
      <c r="I193">
        <v>0</v>
      </c>
      <c r="J193">
        <v>1255.55</v>
      </c>
      <c r="K193" t="s">
        <v>22</v>
      </c>
      <c r="L193" t="s">
        <v>32</v>
      </c>
    </row>
    <row r="194" spans="1:12" x14ac:dyDescent="0.3">
      <c r="A194" t="s">
        <v>238</v>
      </c>
      <c r="B194" s="1">
        <v>45930</v>
      </c>
      <c r="C194" t="s">
        <v>35</v>
      </c>
      <c r="D194" t="s">
        <v>36</v>
      </c>
      <c r="E194" t="s">
        <v>37</v>
      </c>
      <c r="F194">
        <v>4</v>
      </c>
      <c r="G194">
        <v>1800</v>
      </c>
      <c r="H194">
        <v>6480</v>
      </c>
      <c r="I194">
        <v>0.1</v>
      </c>
      <c r="J194">
        <v>978.23</v>
      </c>
      <c r="K194" t="s">
        <v>26</v>
      </c>
      <c r="L194" t="s">
        <v>23</v>
      </c>
    </row>
    <row r="195" spans="1:12" x14ac:dyDescent="0.3">
      <c r="A195" t="s">
        <v>239</v>
      </c>
      <c r="B195" s="1">
        <v>45856</v>
      </c>
      <c r="C195" t="s">
        <v>13</v>
      </c>
      <c r="D195" t="s">
        <v>14</v>
      </c>
      <c r="E195" t="s">
        <v>15</v>
      </c>
      <c r="F195">
        <v>1</v>
      </c>
      <c r="G195">
        <v>1200</v>
      </c>
      <c r="H195">
        <v>1140</v>
      </c>
      <c r="I195">
        <v>0.05</v>
      </c>
      <c r="J195">
        <v>381.2</v>
      </c>
      <c r="K195" t="s">
        <v>16</v>
      </c>
      <c r="L195" t="s">
        <v>23</v>
      </c>
    </row>
    <row r="196" spans="1:12" x14ac:dyDescent="0.3">
      <c r="A196" t="s">
        <v>240</v>
      </c>
      <c r="B196" s="1">
        <v>45694</v>
      </c>
      <c r="C196" t="s">
        <v>28</v>
      </c>
      <c r="D196" t="s">
        <v>30</v>
      </c>
      <c r="E196" t="s">
        <v>82</v>
      </c>
      <c r="F196">
        <v>5</v>
      </c>
      <c r="G196">
        <v>250</v>
      </c>
      <c r="H196">
        <v>1250</v>
      </c>
      <c r="I196">
        <v>0</v>
      </c>
      <c r="J196">
        <v>307.24</v>
      </c>
      <c r="K196" t="s">
        <v>16</v>
      </c>
      <c r="L196" t="s">
        <v>17</v>
      </c>
    </row>
    <row r="197" spans="1:12" x14ac:dyDescent="0.3">
      <c r="A197" t="s">
        <v>241</v>
      </c>
      <c r="B197" s="1">
        <v>45678</v>
      </c>
      <c r="C197" t="s">
        <v>19</v>
      </c>
      <c r="D197" t="s">
        <v>20</v>
      </c>
      <c r="E197" t="s">
        <v>97</v>
      </c>
      <c r="F197">
        <v>5</v>
      </c>
      <c r="G197">
        <v>400</v>
      </c>
      <c r="H197">
        <v>1600</v>
      </c>
      <c r="I197">
        <v>0.2</v>
      </c>
      <c r="J197">
        <v>158.36000000000001</v>
      </c>
      <c r="K197" t="s">
        <v>16</v>
      </c>
      <c r="L197" t="s">
        <v>23</v>
      </c>
    </row>
    <row r="198" spans="1:12" x14ac:dyDescent="0.3">
      <c r="A198" t="s">
        <v>242</v>
      </c>
      <c r="B198" s="1">
        <v>45843</v>
      </c>
      <c r="C198" t="s">
        <v>19</v>
      </c>
      <c r="D198" t="s">
        <v>14</v>
      </c>
      <c r="E198" t="s">
        <v>105</v>
      </c>
      <c r="F198">
        <v>10</v>
      </c>
      <c r="G198">
        <v>14000</v>
      </c>
      <c r="H198">
        <v>140000</v>
      </c>
      <c r="I198">
        <v>0</v>
      </c>
      <c r="J198">
        <v>48210.13</v>
      </c>
      <c r="K198" t="s">
        <v>22</v>
      </c>
      <c r="L198" t="s">
        <v>23</v>
      </c>
    </row>
    <row r="199" spans="1:12" x14ac:dyDescent="0.3">
      <c r="A199" t="s">
        <v>243</v>
      </c>
      <c r="B199" s="1">
        <v>45876</v>
      </c>
      <c r="C199" t="s">
        <v>19</v>
      </c>
      <c r="D199" t="s">
        <v>20</v>
      </c>
      <c r="E199" t="s">
        <v>97</v>
      </c>
      <c r="F199">
        <v>8</v>
      </c>
      <c r="G199">
        <v>400</v>
      </c>
      <c r="H199">
        <v>3200</v>
      </c>
      <c r="I199">
        <v>0</v>
      </c>
      <c r="J199">
        <v>946.8</v>
      </c>
      <c r="K199" t="s">
        <v>16</v>
      </c>
      <c r="L199" t="s">
        <v>32</v>
      </c>
    </row>
    <row r="200" spans="1:12" x14ac:dyDescent="0.3">
      <c r="A200" t="s">
        <v>244</v>
      </c>
      <c r="B200" s="1">
        <v>45966</v>
      </c>
      <c r="C200" t="s">
        <v>28</v>
      </c>
      <c r="D200" t="s">
        <v>36</v>
      </c>
      <c r="E200" t="s">
        <v>37</v>
      </c>
      <c r="F200">
        <v>9</v>
      </c>
      <c r="G200">
        <v>12000</v>
      </c>
      <c r="H200">
        <v>97200</v>
      </c>
      <c r="I200">
        <v>0.1</v>
      </c>
      <c r="J200">
        <v>10783.23</v>
      </c>
      <c r="K200" t="s">
        <v>26</v>
      </c>
      <c r="L200" t="s">
        <v>17</v>
      </c>
    </row>
    <row r="201" spans="1:12" x14ac:dyDescent="0.3">
      <c r="A201" t="s">
        <v>245</v>
      </c>
      <c r="B201" s="1">
        <v>45863</v>
      </c>
      <c r="C201" t="s">
        <v>19</v>
      </c>
      <c r="D201" t="s">
        <v>20</v>
      </c>
      <c r="E201" t="s">
        <v>21</v>
      </c>
      <c r="F201">
        <v>2</v>
      </c>
      <c r="G201">
        <v>650</v>
      </c>
      <c r="H201">
        <v>1300</v>
      </c>
      <c r="I201">
        <v>0</v>
      </c>
      <c r="J201">
        <v>366.03</v>
      </c>
      <c r="K201" t="s">
        <v>26</v>
      </c>
      <c r="L201" t="s">
        <v>23</v>
      </c>
    </row>
    <row r="202" spans="1:12" x14ac:dyDescent="0.3">
      <c r="A202" t="s">
        <v>246</v>
      </c>
      <c r="B202" s="1">
        <v>45783</v>
      </c>
      <c r="C202" t="s">
        <v>28</v>
      </c>
      <c r="D202" t="s">
        <v>20</v>
      </c>
      <c r="E202" t="s">
        <v>97</v>
      </c>
      <c r="F202">
        <v>1</v>
      </c>
      <c r="G202">
        <v>400</v>
      </c>
      <c r="H202">
        <v>400</v>
      </c>
      <c r="I202">
        <v>0</v>
      </c>
      <c r="J202">
        <v>-45.67</v>
      </c>
      <c r="K202" t="s">
        <v>26</v>
      </c>
      <c r="L202" t="s">
        <v>23</v>
      </c>
    </row>
    <row r="203" spans="1:12" x14ac:dyDescent="0.3">
      <c r="A203" t="s">
        <v>247</v>
      </c>
      <c r="B203" s="1">
        <v>45839</v>
      </c>
      <c r="C203" t="s">
        <v>56</v>
      </c>
      <c r="D203" t="s">
        <v>14</v>
      </c>
      <c r="E203" t="s">
        <v>65</v>
      </c>
      <c r="F203">
        <v>6</v>
      </c>
      <c r="G203">
        <v>700</v>
      </c>
      <c r="H203">
        <v>3780</v>
      </c>
      <c r="I203">
        <v>0.1</v>
      </c>
      <c r="J203">
        <v>898.67</v>
      </c>
      <c r="K203" t="s">
        <v>26</v>
      </c>
      <c r="L203" t="s">
        <v>17</v>
      </c>
    </row>
    <row r="204" spans="1:12" x14ac:dyDescent="0.3">
      <c r="A204" t="s">
        <v>248</v>
      </c>
      <c r="B204" s="1">
        <v>45996</v>
      </c>
      <c r="C204" t="s">
        <v>28</v>
      </c>
      <c r="D204" t="s">
        <v>30</v>
      </c>
      <c r="E204" t="s">
        <v>41</v>
      </c>
      <c r="F204">
        <v>1</v>
      </c>
      <c r="G204">
        <v>600</v>
      </c>
      <c r="H204">
        <v>540</v>
      </c>
      <c r="I204">
        <v>0.1</v>
      </c>
      <c r="J204">
        <v>118.92</v>
      </c>
      <c r="K204" t="s">
        <v>16</v>
      </c>
      <c r="L204" t="s">
        <v>23</v>
      </c>
    </row>
    <row r="205" spans="1:12" x14ac:dyDescent="0.3">
      <c r="A205" t="s">
        <v>249</v>
      </c>
      <c r="B205" s="1">
        <v>45867</v>
      </c>
      <c r="C205" t="s">
        <v>13</v>
      </c>
      <c r="D205" t="s">
        <v>36</v>
      </c>
      <c r="E205" t="s">
        <v>37</v>
      </c>
      <c r="F205">
        <v>1</v>
      </c>
      <c r="G205">
        <v>12000</v>
      </c>
      <c r="H205">
        <v>10200</v>
      </c>
      <c r="I205">
        <v>0.15</v>
      </c>
      <c r="J205">
        <v>1571.69</v>
      </c>
      <c r="K205" t="s">
        <v>26</v>
      </c>
      <c r="L205" t="s">
        <v>32</v>
      </c>
    </row>
    <row r="206" spans="1:12" x14ac:dyDescent="0.3">
      <c r="A206" t="s">
        <v>250</v>
      </c>
      <c r="B206" s="1">
        <v>45964</v>
      </c>
      <c r="C206" t="s">
        <v>35</v>
      </c>
      <c r="D206" t="s">
        <v>20</v>
      </c>
      <c r="E206" t="s">
        <v>84</v>
      </c>
      <c r="F206">
        <v>2</v>
      </c>
      <c r="G206">
        <v>3200</v>
      </c>
      <c r="H206">
        <v>6400</v>
      </c>
      <c r="I206">
        <v>0</v>
      </c>
      <c r="J206">
        <v>2835.15</v>
      </c>
      <c r="K206" t="s">
        <v>26</v>
      </c>
      <c r="L206" t="s">
        <v>17</v>
      </c>
    </row>
    <row r="207" spans="1:12" x14ac:dyDescent="0.3">
      <c r="A207" t="s">
        <v>251</v>
      </c>
      <c r="B207" s="1">
        <v>45664</v>
      </c>
      <c r="C207" t="s">
        <v>35</v>
      </c>
      <c r="D207" t="s">
        <v>14</v>
      </c>
      <c r="E207" t="s">
        <v>43</v>
      </c>
      <c r="F207">
        <v>3</v>
      </c>
      <c r="G207">
        <v>65000</v>
      </c>
      <c r="H207">
        <v>165750</v>
      </c>
      <c r="I207">
        <v>0.15</v>
      </c>
      <c r="J207">
        <v>15735.46</v>
      </c>
      <c r="K207" t="s">
        <v>22</v>
      </c>
      <c r="L207" t="s">
        <v>32</v>
      </c>
    </row>
    <row r="208" spans="1:12" x14ac:dyDescent="0.3">
      <c r="A208" t="s">
        <v>252</v>
      </c>
      <c r="B208" s="1">
        <v>45913</v>
      </c>
      <c r="C208" t="s">
        <v>13</v>
      </c>
      <c r="D208" t="s">
        <v>20</v>
      </c>
      <c r="E208" t="s">
        <v>39</v>
      </c>
      <c r="F208">
        <v>10</v>
      </c>
      <c r="G208">
        <v>2800</v>
      </c>
      <c r="H208">
        <v>23800</v>
      </c>
      <c r="I208">
        <v>0.15</v>
      </c>
      <c r="J208">
        <v>6425.77</v>
      </c>
      <c r="K208" t="s">
        <v>22</v>
      </c>
      <c r="L208" t="s">
        <v>32</v>
      </c>
    </row>
    <row r="209" spans="1:12" x14ac:dyDescent="0.3">
      <c r="A209" t="s">
        <v>253</v>
      </c>
      <c r="B209" s="1">
        <v>45882</v>
      </c>
      <c r="C209" t="s">
        <v>19</v>
      </c>
      <c r="D209" t="s">
        <v>20</v>
      </c>
      <c r="E209" t="s">
        <v>39</v>
      </c>
      <c r="F209">
        <v>5</v>
      </c>
      <c r="G209">
        <v>2800</v>
      </c>
      <c r="H209">
        <v>13300</v>
      </c>
      <c r="I209">
        <v>0.05</v>
      </c>
      <c r="J209">
        <v>4778.6099999999997</v>
      </c>
      <c r="K209" t="s">
        <v>26</v>
      </c>
      <c r="L209" t="s">
        <v>23</v>
      </c>
    </row>
    <row r="210" spans="1:12" x14ac:dyDescent="0.3">
      <c r="A210" t="s">
        <v>254</v>
      </c>
      <c r="B210" s="1">
        <v>45900</v>
      </c>
      <c r="C210" t="s">
        <v>35</v>
      </c>
      <c r="D210" t="s">
        <v>30</v>
      </c>
      <c r="E210" t="s">
        <v>82</v>
      </c>
      <c r="F210">
        <v>3</v>
      </c>
      <c r="G210">
        <v>250</v>
      </c>
      <c r="H210">
        <v>600</v>
      </c>
      <c r="I210">
        <v>0.2</v>
      </c>
      <c r="J210">
        <v>145.44</v>
      </c>
      <c r="K210" t="s">
        <v>26</v>
      </c>
      <c r="L210" t="s">
        <v>17</v>
      </c>
    </row>
    <row r="211" spans="1:12" x14ac:dyDescent="0.3">
      <c r="A211" t="s">
        <v>255</v>
      </c>
      <c r="B211" s="1">
        <v>45768</v>
      </c>
      <c r="C211" t="s">
        <v>19</v>
      </c>
      <c r="D211" t="s">
        <v>36</v>
      </c>
      <c r="E211" t="s">
        <v>91</v>
      </c>
      <c r="F211">
        <v>5</v>
      </c>
      <c r="G211">
        <v>8500</v>
      </c>
      <c r="H211">
        <v>42500</v>
      </c>
      <c r="I211">
        <v>0</v>
      </c>
      <c r="J211">
        <v>11106.56</v>
      </c>
      <c r="K211" t="s">
        <v>26</v>
      </c>
      <c r="L211" t="s">
        <v>23</v>
      </c>
    </row>
    <row r="212" spans="1:12" x14ac:dyDescent="0.3">
      <c r="A212" t="s">
        <v>256</v>
      </c>
      <c r="B212" s="1">
        <v>45930</v>
      </c>
      <c r="C212" t="s">
        <v>13</v>
      </c>
      <c r="D212" t="s">
        <v>20</v>
      </c>
      <c r="E212" t="s">
        <v>21</v>
      </c>
      <c r="F212">
        <v>3</v>
      </c>
      <c r="G212">
        <v>650</v>
      </c>
      <c r="H212">
        <v>1560</v>
      </c>
      <c r="I212">
        <v>0.2</v>
      </c>
      <c r="J212">
        <v>302.74</v>
      </c>
      <c r="K212" t="s">
        <v>16</v>
      </c>
      <c r="L212" t="s">
        <v>32</v>
      </c>
    </row>
    <row r="213" spans="1:12" x14ac:dyDescent="0.3">
      <c r="A213" t="s">
        <v>257</v>
      </c>
      <c r="B213" s="1">
        <v>45860</v>
      </c>
      <c r="C213" t="s">
        <v>13</v>
      </c>
      <c r="D213" t="s">
        <v>36</v>
      </c>
      <c r="E213" t="s">
        <v>37</v>
      </c>
      <c r="F213">
        <v>3</v>
      </c>
      <c r="G213">
        <v>12000</v>
      </c>
      <c r="H213">
        <v>36000</v>
      </c>
      <c r="I213">
        <v>0</v>
      </c>
      <c r="J213">
        <v>14963.23</v>
      </c>
      <c r="K213" t="s">
        <v>26</v>
      </c>
      <c r="L213" t="s">
        <v>17</v>
      </c>
    </row>
    <row r="214" spans="1:12" x14ac:dyDescent="0.3">
      <c r="A214" t="s">
        <v>258</v>
      </c>
      <c r="B214" s="1">
        <v>45718</v>
      </c>
      <c r="C214" t="s">
        <v>28</v>
      </c>
      <c r="D214" t="s">
        <v>36</v>
      </c>
      <c r="E214" t="s">
        <v>37</v>
      </c>
      <c r="F214">
        <v>8</v>
      </c>
      <c r="G214">
        <v>12000</v>
      </c>
      <c r="H214">
        <v>96000</v>
      </c>
      <c r="I214">
        <v>0</v>
      </c>
      <c r="J214">
        <v>37496.78</v>
      </c>
      <c r="K214" t="s">
        <v>16</v>
      </c>
      <c r="L214" t="s">
        <v>23</v>
      </c>
    </row>
    <row r="215" spans="1:12" x14ac:dyDescent="0.3">
      <c r="A215" t="s">
        <v>259</v>
      </c>
      <c r="B215" s="1">
        <v>45723</v>
      </c>
      <c r="C215" t="s">
        <v>13</v>
      </c>
      <c r="D215" t="s">
        <v>20</v>
      </c>
      <c r="E215" t="s">
        <v>84</v>
      </c>
      <c r="F215">
        <v>6</v>
      </c>
      <c r="G215">
        <v>3200</v>
      </c>
      <c r="H215">
        <v>15360</v>
      </c>
      <c r="I215">
        <v>0.2</v>
      </c>
      <c r="J215">
        <v>4657.47</v>
      </c>
      <c r="K215" t="s">
        <v>26</v>
      </c>
      <c r="L215" t="s">
        <v>32</v>
      </c>
    </row>
    <row r="216" spans="1:12" x14ac:dyDescent="0.3">
      <c r="A216" t="s">
        <v>260</v>
      </c>
      <c r="B216" s="1">
        <v>45822</v>
      </c>
      <c r="C216" t="s">
        <v>35</v>
      </c>
      <c r="D216" t="s">
        <v>36</v>
      </c>
      <c r="E216" t="s">
        <v>91</v>
      </c>
      <c r="F216">
        <v>8</v>
      </c>
      <c r="G216">
        <v>8500</v>
      </c>
      <c r="H216">
        <v>64600</v>
      </c>
      <c r="I216">
        <v>0.05</v>
      </c>
      <c r="J216">
        <v>24058.71</v>
      </c>
      <c r="K216" t="s">
        <v>16</v>
      </c>
      <c r="L216" t="s">
        <v>17</v>
      </c>
    </row>
    <row r="217" spans="1:12" x14ac:dyDescent="0.3">
      <c r="A217" t="s">
        <v>261</v>
      </c>
      <c r="B217" s="1">
        <v>45825</v>
      </c>
      <c r="C217" t="s">
        <v>28</v>
      </c>
      <c r="D217" t="s">
        <v>36</v>
      </c>
      <c r="E217" t="s">
        <v>37</v>
      </c>
      <c r="F217">
        <v>2</v>
      </c>
      <c r="G217">
        <v>1800</v>
      </c>
      <c r="H217">
        <v>3240</v>
      </c>
      <c r="I217">
        <v>0.1</v>
      </c>
      <c r="J217">
        <v>582.1</v>
      </c>
      <c r="K217" t="s">
        <v>26</v>
      </c>
      <c r="L217" t="s">
        <v>32</v>
      </c>
    </row>
    <row r="218" spans="1:12" x14ac:dyDescent="0.3">
      <c r="A218" t="s">
        <v>262</v>
      </c>
      <c r="B218" s="1">
        <v>45807</v>
      </c>
      <c r="C218" t="s">
        <v>19</v>
      </c>
      <c r="D218" t="s">
        <v>20</v>
      </c>
      <c r="E218" t="s">
        <v>97</v>
      </c>
      <c r="F218">
        <v>6</v>
      </c>
      <c r="G218">
        <v>400</v>
      </c>
      <c r="H218">
        <v>2400</v>
      </c>
      <c r="I218">
        <v>0</v>
      </c>
      <c r="J218">
        <v>433.97</v>
      </c>
      <c r="K218" t="s">
        <v>16</v>
      </c>
      <c r="L218" t="s">
        <v>23</v>
      </c>
    </row>
    <row r="219" spans="1:12" x14ac:dyDescent="0.3">
      <c r="A219" t="s">
        <v>263</v>
      </c>
      <c r="B219" s="1">
        <v>45930</v>
      </c>
      <c r="C219" t="s">
        <v>19</v>
      </c>
      <c r="D219" t="s">
        <v>20</v>
      </c>
      <c r="E219" t="s">
        <v>84</v>
      </c>
      <c r="F219">
        <v>10</v>
      </c>
      <c r="G219">
        <v>3200</v>
      </c>
      <c r="H219">
        <v>28800</v>
      </c>
      <c r="I219">
        <v>0.1</v>
      </c>
      <c r="J219">
        <v>2915.07</v>
      </c>
      <c r="K219" t="s">
        <v>26</v>
      </c>
      <c r="L219" t="s">
        <v>17</v>
      </c>
    </row>
    <row r="220" spans="1:12" x14ac:dyDescent="0.3">
      <c r="A220" t="s">
        <v>264</v>
      </c>
      <c r="B220" s="1">
        <v>45717</v>
      </c>
      <c r="C220" t="s">
        <v>19</v>
      </c>
      <c r="D220" t="s">
        <v>14</v>
      </c>
      <c r="E220" t="s">
        <v>43</v>
      </c>
      <c r="F220">
        <v>8</v>
      </c>
      <c r="G220">
        <v>65000</v>
      </c>
      <c r="H220">
        <v>416000</v>
      </c>
      <c r="I220">
        <v>0.2</v>
      </c>
      <c r="J220">
        <v>92313.87</v>
      </c>
      <c r="K220" t="s">
        <v>16</v>
      </c>
      <c r="L220" t="s">
        <v>32</v>
      </c>
    </row>
    <row r="221" spans="1:12" x14ac:dyDescent="0.3">
      <c r="A221" t="s">
        <v>265</v>
      </c>
      <c r="B221" s="1">
        <v>45877</v>
      </c>
      <c r="C221" t="s">
        <v>56</v>
      </c>
      <c r="D221" t="s">
        <v>14</v>
      </c>
      <c r="E221" t="s">
        <v>43</v>
      </c>
      <c r="F221">
        <v>4</v>
      </c>
      <c r="G221">
        <v>65000</v>
      </c>
      <c r="H221">
        <v>260000</v>
      </c>
      <c r="I221">
        <v>0</v>
      </c>
      <c r="J221">
        <v>112508.54</v>
      </c>
      <c r="K221" t="s">
        <v>26</v>
      </c>
      <c r="L221" t="s">
        <v>17</v>
      </c>
    </row>
    <row r="222" spans="1:12" x14ac:dyDescent="0.3">
      <c r="A222" t="s">
        <v>266</v>
      </c>
      <c r="B222" s="1">
        <v>45969</v>
      </c>
      <c r="C222" t="s">
        <v>19</v>
      </c>
      <c r="D222" t="s">
        <v>14</v>
      </c>
      <c r="E222" t="s">
        <v>51</v>
      </c>
      <c r="F222">
        <v>4</v>
      </c>
      <c r="G222">
        <v>2500</v>
      </c>
      <c r="H222">
        <v>9000</v>
      </c>
      <c r="I222">
        <v>0.1</v>
      </c>
      <c r="J222">
        <v>2118.86</v>
      </c>
      <c r="K222" t="s">
        <v>16</v>
      </c>
      <c r="L222" t="s">
        <v>17</v>
      </c>
    </row>
    <row r="223" spans="1:12" x14ac:dyDescent="0.3">
      <c r="A223" t="s">
        <v>267</v>
      </c>
      <c r="B223" s="1">
        <v>45830</v>
      </c>
      <c r="C223" t="s">
        <v>19</v>
      </c>
      <c r="D223" t="s">
        <v>20</v>
      </c>
      <c r="E223" t="s">
        <v>84</v>
      </c>
      <c r="F223">
        <v>1</v>
      </c>
      <c r="G223">
        <v>3200</v>
      </c>
      <c r="H223">
        <v>3200</v>
      </c>
      <c r="I223">
        <v>0</v>
      </c>
      <c r="J223">
        <v>1386.2</v>
      </c>
      <c r="K223" t="s">
        <v>26</v>
      </c>
      <c r="L223" t="s">
        <v>23</v>
      </c>
    </row>
    <row r="224" spans="1:12" x14ac:dyDescent="0.3">
      <c r="A224" t="s">
        <v>268</v>
      </c>
      <c r="B224" s="1">
        <v>45836</v>
      </c>
      <c r="C224" t="s">
        <v>28</v>
      </c>
      <c r="D224" t="s">
        <v>20</v>
      </c>
      <c r="E224" t="s">
        <v>84</v>
      </c>
      <c r="F224">
        <v>6</v>
      </c>
      <c r="G224">
        <v>3200</v>
      </c>
      <c r="H224">
        <v>19200</v>
      </c>
      <c r="I224">
        <v>0</v>
      </c>
      <c r="J224">
        <v>3493.64</v>
      </c>
      <c r="K224" t="s">
        <v>16</v>
      </c>
      <c r="L224" t="s">
        <v>17</v>
      </c>
    </row>
    <row r="225" spans="1:12" x14ac:dyDescent="0.3">
      <c r="A225" t="s">
        <v>269</v>
      </c>
      <c r="B225" s="1">
        <v>45677</v>
      </c>
      <c r="C225" t="s">
        <v>13</v>
      </c>
      <c r="D225" t="s">
        <v>36</v>
      </c>
      <c r="E225" t="s">
        <v>91</v>
      </c>
      <c r="F225">
        <v>1</v>
      </c>
      <c r="G225">
        <v>8500</v>
      </c>
      <c r="H225">
        <v>6800</v>
      </c>
      <c r="I225">
        <v>0.2</v>
      </c>
      <c r="J225">
        <v>1730.79</v>
      </c>
      <c r="K225" t="s">
        <v>22</v>
      </c>
      <c r="L225" t="s">
        <v>17</v>
      </c>
    </row>
    <row r="226" spans="1:12" x14ac:dyDescent="0.3">
      <c r="A226" t="s">
        <v>270</v>
      </c>
      <c r="B226" s="1">
        <v>45803</v>
      </c>
      <c r="C226" t="s">
        <v>13</v>
      </c>
      <c r="D226" t="s">
        <v>14</v>
      </c>
      <c r="E226" t="s">
        <v>51</v>
      </c>
      <c r="F226">
        <v>9</v>
      </c>
      <c r="G226">
        <v>2500</v>
      </c>
      <c r="H226">
        <v>19125</v>
      </c>
      <c r="I226">
        <v>0.15</v>
      </c>
      <c r="J226">
        <v>1734.67</v>
      </c>
      <c r="K226" t="s">
        <v>16</v>
      </c>
      <c r="L226" t="s">
        <v>23</v>
      </c>
    </row>
    <row r="227" spans="1:12" x14ac:dyDescent="0.3">
      <c r="A227" t="s">
        <v>271</v>
      </c>
      <c r="B227" s="1">
        <v>45768</v>
      </c>
      <c r="C227" t="s">
        <v>35</v>
      </c>
      <c r="D227" t="s">
        <v>36</v>
      </c>
      <c r="E227" t="s">
        <v>91</v>
      </c>
      <c r="F227">
        <v>5</v>
      </c>
      <c r="G227">
        <v>8500</v>
      </c>
      <c r="H227">
        <v>42500</v>
      </c>
      <c r="I227">
        <v>0</v>
      </c>
      <c r="J227">
        <v>16588.53</v>
      </c>
      <c r="K227" t="s">
        <v>16</v>
      </c>
      <c r="L227" t="s">
        <v>17</v>
      </c>
    </row>
    <row r="228" spans="1:12" x14ac:dyDescent="0.3">
      <c r="A228" t="s">
        <v>272</v>
      </c>
      <c r="B228" s="1">
        <v>45805</v>
      </c>
      <c r="C228" t="s">
        <v>28</v>
      </c>
      <c r="D228" t="s">
        <v>20</v>
      </c>
      <c r="E228" t="s">
        <v>97</v>
      </c>
      <c r="F228">
        <v>2</v>
      </c>
      <c r="G228">
        <v>400</v>
      </c>
      <c r="H228">
        <v>720</v>
      </c>
      <c r="I228">
        <v>0.1</v>
      </c>
      <c r="J228">
        <v>166.7</v>
      </c>
      <c r="K228" t="s">
        <v>26</v>
      </c>
      <c r="L228" t="s">
        <v>23</v>
      </c>
    </row>
    <row r="229" spans="1:12" x14ac:dyDescent="0.3">
      <c r="A229" t="s">
        <v>273</v>
      </c>
      <c r="B229" s="1">
        <v>45968</v>
      </c>
      <c r="C229" t="s">
        <v>90</v>
      </c>
      <c r="D229" t="s">
        <v>30</v>
      </c>
      <c r="E229" t="s">
        <v>47</v>
      </c>
      <c r="F229">
        <v>9</v>
      </c>
      <c r="G229">
        <v>450</v>
      </c>
      <c r="H229">
        <v>4050</v>
      </c>
      <c r="I229">
        <v>0</v>
      </c>
      <c r="J229">
        <v>1458.01</v>
      </c>
      <c r="K229" t="s">
        <v>22</v>
      </c>
      <c r="L229" t="s">
        <v>17</v>
      </c>
    </row>
    <row r="230" spans="1:12" x14ac:dyDescent="0.3">
      <c r="A230" t="s">
        <v>274</v>
      </c>
      <c r="B230" s="1">
        <v>45728</v>
      </c>
      <c r="C230" t="s">
        <v>19</v>
      </c>
      <c r="D230" t="s">
        <v>20</v>
      </c>
      <c r="E230" t="s">
        <v>97</v>
      </c>
      <c r="F230">
        <v>6</v>
      </c>
      <c r="G230">
        <v>400</v>
      </c>
      <c r="H230">
        <v>2040</v>
      </c>
      <c r="I230">
        <v>0.15</v>
      </c>
      <c r="J230">
        <v>169.14</v>
      </c>
      <c r="K230" t="s">
        <v>22</v>
      </c>
      <c r="L230" t="s">
        <v>17</v>
      </c>
    </row>
    <row r="231" spans="1:12" x14ac:dyDescent="0.3">
      <c r="A231" t="s">
        <v>275</v>
      </c>
      <c r="B231" s="1">
        <v>45873</v>
      </c>
      <c r="C231" t="s">
        <v>28</v>
      </c>
      <c r="D231" t="s">
        <v>30</v>
      </c>
      <c r="E231" t="s">
        <v>47</v>
      </c>
      <c r="F231">
        <v>7</v>
      </c>
      <c r="G231">
        <v>450</v>
      </c>
      <c r="H231">
        <v>3150</v>
      </c>
      <c r="I231">
        <v>0</v>
      </c>
      <c r="J231">
        <v>571.92999999999995</v>
      </c>
      <c r="K231" t="s">
        <v>26</v>
      </c>
      <c r="L231" t="s">
        <v>32</v>
      </c>
    </row>
    <row r="232" spans="1:12" x14ac:dyDescent="0.3">
      <c r="A232" t="s">
        <v>276</v>
      </c>
      <c r="B232" s="1">
        <v>45669</v>
      </c>
      <c r="C232" t="s">
        <v>35</v>
      </c>
      <c r="D232" t="s">
        <v>30</v>
      </c>
      <c r="E232" t="s">
        <v>45</v>
      </c>
      <c r="F232">
        <v>2</v>
      </c>
      <c r="G232">
        <v>180</v>
      </c>
      <c r="H232">
        <v>360</v>
      </c>
      <c r="I232">
        <v>0</v>
      </c>
      <c r="J232">
        <v>125.92</v>
      </c>
      <c r="K232" t="s">
        <v>16</v>
      </c>
      <c r="L232" t="s">
        <v>17</v>
      </c>
    </row>
    <row r="233" spans="1:12" x14ac:dyDescent="0.3">
      <c r="A233" t="s">
        <v>277</v>
      </c>
      <c r="B233" s="1">
        <v>45994</v>
      </c>
      <c r="C233" t="s">
        <v>56</v>
      </c>
      <c r="D233" t="s">
        <v>30</v>
      </c>
      <c r="E233" t="s">
        <v>82</v>
      </c>
      <c r="F233">
        <v>7</v>
      </c>
      <c r="G233">
        <v>250</v>
      </c>
      <c r="H233">
        <v>1400</v>
      </c>
      <c r="I233">
        <v>0.2</v>
      </c>
      <c r="J233">
        <v>255.22</v>
      </c>
      <c r="K233" t="s">
        <v>16</v>
      </c>
      <c r="L233" t="s">
        <v>23</v>
      </c>
    </row>
    <row r="234" spans="1:12" x14ac:dyDescent="0.3">
      <c r="A234" t="s">
        <v>278</v>
      </c>
      <c r="B234" s="1">
        <v>45797</v>
      </c>
      <c r="C234" t="s">
        <v>28</v>
      </c>
      <c r="D234" t="s">
        <v>36</v>
      </c>
      <c r="E234" t="s">
        <v>37</v>
      </c>
      <c r="F234">
        <v>2</v>
      </c>
      <c r="G234">
        <v>12000</v>
      </c>
      <c r="H234">
        <v>21600</v>
      </c>
      <c r="I234">
        <v>0.1</v>
      </c>
      <c r="J234">
        <v>4433.9399999999996</v>
      </c>
      <c r="K234" t="s">
        <v>16</v>
      </c>
      <c r="L234" t="s">
        <v>32</v>
      </c>
    </row>
    <row r="235" spans="1:12" x14ac:dyDescent="0.3">
      <c r="A235" t="s">
        <v>279</v>
      </c>
      <c r="B235" s="1">
        <v>45942</v>
      </c>
      <c r="C235" t="s">
        <v>13</v>
      </c>
      <c r="D235" t="s">
        <v>20</v>
      </c>
      <c r="E235" t="s">
        <v>97</v>
      </c>
      <c r="F235">
        <v>8</v>
      </c>
      <c r="G235">
        <v>400</v>
      </c>
      <c r="H235">
        <v>2880</v>
      </c>
      <c r="I235">
        <v>0.1</v>
      </c>
      <c r="J235">
        <v>736.8</v>
      </c>
      <c r="K235" t="s">
        <v>16</v>
      </c>
      <c r="L235" t="s">
        <v>23</v>
      </c>
    </row>
    <row r="236" spans="1:12" x14ac:dyDescent="0.3">
      <c r="A236" t="s">
        <v>280</v>
      </c>
      <c r="B236" s="1">
        <v>45797</v>
      </c>
      <c r="C236" t="s">
        <v>56</v>
      </c>
      <c r="D236" t="s">
        <v>14</v>
      </c>
      <c r="E236" t="s">
        <v>51</v>
      </c>
      <c r="F236">
        <v>1</v>
      </c>
      <c r="G236">
        <v>2500</v>
      </c>
      <c r="H236">
        <v>2375</v>
      </c>
      <c r="I236">
        <v>0.05</v>
      </c>
      <c r="J236">
        <v>499.74</v>
      </c>
      <c r="K236" t="s">
        <v>16</v>
      </c>
      <c r="L236" t="s">
        <v>23</v>
      </c>
    </row>
    <row r="237" spans="1:12" x14ac:dyDescent="0.3">
      <c r="A237" t="s">
        <v>281</v>
      </c>
      <c r="B237" s="1">
        <v>45972</v>
      </c>
      <c r="C237" t="s">
        <v>19</v>
      </c>
      <c r="D237" t="s">
        <v>14</v>
      </c>
      <c r="E237" t="s">
        <v>105</v>
      </c>
      <c r="F237">
        <v>5</v>
      </c>
      <c r="G237">
        <v>14000</v>
      </c>
      <c r="H237">
        <v>70000</v>
      </c>
      <c r="I237">
        <v>0</v>
      </c>
      <c r="J237">
        <v>12984.44</v>
      </c>
      <c r="K237" t="s">
        <v>26</v>
      </c>
      <c r="L237" t="s">
        <v>32</v>
      </c>
    </row>
    <row r="238" spans="1:12" x14ac:dyDescent="0.3">
      <c r="A238" t="s">
        <v>282</v>
      </c>
      <c r="B238" s="1">
        <v>45799</v>
      </c>
      <c r="C238" t="s">
        <v>90</v>
      </c>
      <c r="D238" t="s">
        <v>14</v>
      </c>
      <c r="E238" t="s">
        <v>15</v>
      </c>
      <c r="F238">
        <v>4</v>
      </c>
      <c r="G238">
        <v>1200</v>
      </c>
      <c r="H238">
        <v>4080</v>
      </c>
      <c r="I238">
        <v>0.15</v>
      </c>
      <c r="J238">
        <v>551.13</v>
      </c>
      <c r="K238" t="s">
        <v>22</v>
      </c>
      <c r="L238" t="s">
        <v>17</v>
      </c>
    </row>
    <row r="239" spans="1:12" x14ac:dyDescent="0.3">
      <c r="A239" t="s">
        <v>283</v>
      </c>
      <c r="B239" s="1">
        <v>45911</v>
      </c>
      <c r="C239" t="s">
        <v>28</v>
      </c>
      <c r="D239" t="s">
        <v>14</v>
      </c>
      <c r="E239" t="s">
        <v>25</v>
      </c>
      <c r="F239">
        <v>8</v>
      </c>
      <c r="G239">
        <v>3200</v>
      </c>
      <c r="H239">
        <v>24320</v>
      </c>
      <c r="I239">
        <v>0.05</v>
      </c>
      <c r="J239">
        <v>7597.61</v>
      </c>
      <c r="K239" t="s">
        <v>16</v>
      </c>
      <c r="L239" t="s">
        <v>23</v>
      </c>
    </row>
    <row r="240" spans="1:12" x14ac:dyDescent="0.3">
      <c r="A240" t="s">
        <v>284</v>
      </c>
      <c r="B240" s="1">
        <v>45664</v>
      </c>
      <c r="C240" t="s">
        <v>28</v>
      </c>
      <c r="D240" t="s">
        <v>20</v>
      </c>
      <c r="E240" t="s">
        <v>21</v>
      </c>
      <c r="F240">
        <v>5</v>
      </c>
      <c r="G240">
        <v>650</v>
      </c>
      <c r="H240">
        <v>3250</v>
      </c>
      <c r="I240">
        <v>0</v>
      </c>
      <c r="J240">
        <v>1312.86</v>
      </c>
      <c r="K240" t="s">
        <v>16</v>
      </c>
      <c r="L240" t="s">
        <v>23</v>
      </c>
    </row>
    <row r="241" spans="1:12" x14ac:dyDescent="0.3">
      <c r="A241" t="s">
        <v>285</v>
      </c>
      <c r="B241" s="1">
        <v>45846</v>
      </c>
      <c r="C241" t="s">
        <v>35</v>
      </c>
      <c r="D241" t="s">
        <v>30</v>
      </c>
      <c r="E241" t="s">
        <v>82</v>
      </c>
      <c r="F241">
        <v>6</v>
      </c>
      <c r="G241">
        <v>250</v>
      </c>
      <c r="H241">
        <v>1275</v>
      </c>
      <c r="I241">
        <v>0.15</v>
      </c>
      <c r="J241">
        <v>441.05</v>
      </c>
      <c r="K241" t="s">
        <v>16</v>
      </c>
      <c r="L241" t="s">
        <v>17</v>
      </c>
    </row>
    <row r="242" spans="1:12" x14ac:dyDescent="0.3">
      <c r="A242" t="s">
        <v>286</v>
      </c>
      <c r="B242" s="1">
        <v>45787</v>
      </c>
      <c r="C242" t="s">
        <v>13</v>
      </c>
      <c r="D242" t="s">
        <v>20</v>
      </c>
      <c r="E242" t="s">
        <v>84</v>
      </c>
      <c r="F242">
        <v>8</v>
      </c>
      <c r="G242">
        <v>3200</v>
      </c>
      <c r="H242">
        <v>23040</v>
      </c>
      <c r="I242">
        <v>0.1</v>
      </c>
      <c r="J242">
        <v>5387.4</v>
      </c>
      <c r="K242" t="s">
        <v>16</v>
      </c>
      <c r="L242" t="s">
        <v>17</v>
      </c>
    </row>
    <row r="243" spans="1:12" x14ac:dyDescent="0.3">
      <c r="A243" t="s">
        <v>287</v>
      </c>
      <c r="B243" s="1">
        <v>45989</v>
      </c>
      <c r="C243" t="s">
        <v>19</v>
      </c>
      <c r="D243" t="s">
        <v>20</v>
      </c>
      <c r="E243" t="s">
        <v>84</v>
      </c>
      <c r="F243">
        <v>8</v>
      </c>
      <c r="G243">
        <v>3200</v>
      </c>
      <c r="H243">
        <v>21760</v>
      </c>
      <c r="I243">
        <v>0.15</v>
      </c>
      <c r="J243">
        <v>4511.58</v>
      </c>
      <c r="K243" t="s">
        <v>26</v>
      </c>
      <c r="L243" t="s">
        <v>23</v>
      </c>
    </row>
    <row r="244" spans="1:12" x14ac:dyDescent="0.3">
      <c r="A244" t="s">
        <v>288</v>
      </c>
      <c r="B244" s="1">
        <v>45807</v>
      </c>
      <c r="C244" t="s">
        <v>13</v>
      </c>
      <c r="D244" t="s">
        <v>30</v>
      </c>
      <c r="E244" t="s">
        <v>45</v>
      </c>
      <c r="F244">
        <v>7</v>
      </c>
      <c r="G244">
        <v>180</v>
      </c>
      <c r="H244">
        <v>1260</v>
      </c>
      <c r="I244">
        <v>0</v>
      </c>
      <c r="J244">
        <v>312.51</v>
      </c>
      <c r="K244" t="s">
        <v>22</v>
      </c>
      <c r="L244" t="s">
        <v>17</v>
      </c>
    </row>
    <row r="245" spans="1:12" x14ac:dyDescent="0.3">
      <c r="A245" t="s">
        <v>289</v>
      </c>
      <c r="B245" s="1">
        <v>45831</v>
      </c>
      <c r="C245" t="s">
        <v>28</v>
      </c>
      <c r="D245" t="s">
        <v>20</v>
      </c>
      <c r="E245" t="s">
        <v>21</v>
      </c>
      <c r="F245">
        <v>1</v>
      </c>
      <c r="G245">
        <v>650</v>
      </c>
      <c r="H245">
        <v>552.5</v>
      </c>
      <c r="I245">
        <v>0.15</v>
      </c>
      <c r="J245">
        <v>99.14</v>
      </c>
      <c r="K245" t="s">
        <v>22</v>
      </c>
      <c r="L245" t="s">
        <v>23</v>
      </c>
    </row>
    <row r="246" spans="1:12" x14ac:dyDescent="0.3">
      <c r="A246" t="s">
        <v>290</v>
      </c>
      <c r="B246" s="1">
        <v>45791</v>
      </c>
      <c r="C246" t="s">
        <v>13</v>
      </c>
      <c r="D246" t="s">
        <v>36</v>
      </c>
      <c r="E246" t="s">
        <v>54</v>
      </c>
      <c r="F246">
        <v>5</v>
      </c>
      <c r="G246">
        <v>7000</v>
      </c>
      <c r="H246">
        <v>29750</v>
      </c>
      <c r="I246">
        <v>0.15</v>
      </c>
      <c r="J246">
        <v>6196.74</v>
      </c>
      <c r="K246" t="s">
        <v>22</v>
      </c>
      <c r="L246" t="s">
        <v>23</v>
      </c>
    </row>
    <row r="247" spans="1:12" x14ac:dyDescent="0.3">
      <c r="A247" t="s">
        <v>291</v>
      </c>
      <c r="B247" s="1">
        <v>45884</v>
      </c>
      <c r="C247" t="s">
        <v>28</v>
      </c>
      <c r="D247" t="s">
        <v>30</v>
      </c>
      <c r="E247" t="s">
        <v>31</v>
      </c>
      <c r="F247">
        <v>4</v>
      </c>
      <c r="G247">
        <v>120</v>
      </c>
      <c r="H247">
        <v>480</v>
      </c>
      <c r="I247">
        <v>0</v>
      </c>
      <c r="J247">
        <v>214.31</v>
      </c>
      <c r="K247" t="s">
        <v>22</v>
      </c>
      <c r="L247" t="s">
        <v>17</v>
      </c>
    </row>
    <row r="248" spans="1:12" x14ac:dyDescent="0.3">
      <c r="A248" t="s">
        <v>292</v>
      </c>
      <c r="B248" s="1">
        <v>45679</v>
      </c>
      <c r="C248" t="s">
        <v>35</v>
      </c>
      <c r="D248" t="s">
        <v>14</v>
      </c>
      <c r="E248" t="s">
        <v>105</v>
      </c>
      <c r="F248">
        <v>6</v>
      </c>
      <c r="G248">
        <v>14000</v>
      </c>
      <c r="H248">
        <v>75600</v>
      </c>
      <c r="I248">
        <v>0.1</v>
      </c>
      <c r="J248">
        <v>21671.64</v>
      </c>
      <c r="K248" t="s">
        <v>26</v>
      </c>
      <c r="L248" t="s">
        <v>23</v>
      </c>
    </row>
    <row r="249" spans="1:12" x14ac:dyDescent="0.3">
      <c r="A249" t="s">
        <v>293</v>
      </c>
      <c r="B249" s="1">
        <v>45855</v>
      </c>
      <c r="C249" t="s">
        <v>13</v>
      </c>
      <c r="D249" t="s">
        <v>30</v>
      </c>
      <c r="E249" t="s">
        <v>47</v>
      </c>
      <c r="F249">
        <v>6</v>
      </c>
      <c r="G249">
        <v>450</v>
      </c>
      <c r="H249">
        <v>2430</v>
      </c>
      <c r="I249">
        <v>0.1</v>
      </c>
      <c r="J249">
        <v>-354.7</v>
      </c>
      <c r="K249" t="s">
        <v>16</v>
      </c>
      <c r="L249" t="s">
        <v>32</v>
      </c>
    </row>
    <row r="250" spans="1:12" x14ac:dyDescent="0.3">
      <c r="A250" t="s">
        <v>294</v>
      </c>
      <c r="B250" s="1">
        <v>45801</v>
      </c>
      <c r="C250" t="s">
        <v>19</v>
      </c>
      <c r="D250" t="s">
        <v>36</v>
      </c>
      <c r="E250" t="s">
        <v>37</v>
      </c>
      <c r="F250">
        <v>3</v>
      </c>
      <c r="G250">
        <v>12000</v>
      </c>
      <c r="H250">
        <v>32400</v>
      </c>
      <c r="I250">
        <v>0.1</v>
      </c>
      <c r="J250">
        <v>11735.36</v>
      </c>
      <c r="K250" t="s">
        <v>22</v>
      </c>
      <c r="L250" t="s">
        <v>17</v>
      </c>
    </row>
    <row r="251" spans="1:12" x14ac:dyDescent="0.3">
      <c r="A251" t="s">
        <v>295</v>
      </c>
      <c r="B251" s="1">
        <v>45913</v>
      </c>
      <c r="C251" t="s">
        <v>13</v>
      </c>
      <c r="D251" t="s">
        <v>30</v>
      </c>
      <c r="E251" t="s">
        <v>82</v>
      </c>
      <c r="F251">
        <v>6</v>
      </c>
      <c r="G251">
        <v>250</v>
      </c>
      <c r="H251">
        <v>1500</v>
      </c>
      <c r="I251">
        <v>0</v>
      </c>
      <c r="J251">
        <v>626.97</v>
      </c>
      <c r="K251" t="s">
        <v>26</v>
      </c>
      <c r="L251" t="s">
        <v>32</v>
      </c>
    </row>
    <row r="252" spans="1:12" x14ac:dyDescent="0.3">
      <c r="A252" t="s">
        <v>296</v>
      </c>
      <c r="B252" s="1">
        <v>45815</v>
      </c>
      <c r="C252" t="s">
        <v>35</v>
      </c>
      <c r="D252" t="s">
        <v>20</v>
      </c>
      <c r="E252" t="s">
        <v>21</v>
      </c>
      <c r="F252">
        <v>8</v>
      </c>
      <c r="G252">
        <v>650</v>
      </c>
      <c r="H252">
        <v>4160</v>
      </c>
      <c r="I252">
        <v>0.2</v>
      </c>
      <c r="J252">
        <v>-86.26</v>
      </c>
      <c r="K252" t="s">
        <v>22</v>
      </c>
      <c r="L252" t="s">
        <v>32</v>
      </c>
    </row>
    <row r="253" spans="1:12" x14ac:dyDescent="0.3">
      <c r="A253" t="s">
        <v>297</v>
      </c>
      <c r="B253" s="1">
        <v>45939</v>
      </c>
      <c r="C253" t="s">
        <v>35</v>
      </c>
      <c r="D253" t="s">
        <v>36</v>
      </c>
      <c r="E253" t="s">
        <v>91</v>
      </c>
      <c r="F253">
        <v>3</v>
      </c>
      <c r="G253">
        <v>8500</v>
      </c>
      <c r="H253">
        <v>24225</v>
      </c>
      <c r="I253">
        <v>0.05</v>
      </c>
      <c r="J253">
        <v>7650.25</v>
      </c>
      <c r="K253" t="s">
        <v>26</v>
      </c>
      <c r="L253" t="s">
        <v>32</v>
      </c>
    </row>
    <row r="254" spans="1:12" x14ac:dyDescent="0.3">
      <c r="A254" t="s">
        <v>298</v>
      </c>
      <c r="B254" s="1">
        <v>45664</v>
      </c>
      <c r="C254" t="s">
        <v>19</v>
      </c>
      <c r="D254" t="s">
        <v>36</v>
      </c>
      <c r="E254" t="s">
        <v>37</v>
      </c>
      <c r="F254">
        <v>8</v>
      </c>
      <c r="G254">
        <v>12000</v>
      </c>
      <c r="H254">
        <v>91200</v>
      </c>
      <c r="I254">
        <v>0.05</v>
      </c>
      <c r="J254">
        <v>31872.45</v>
      </c>
      <c r="K254" t="s">
        <v>22</v>
      </c>
      <c r="L254" t="s">
        <v>32</v>
      </c>
    </row>
    <row r="255" spans="1:12" x14ac:dyDescent="0.3">
      <c r="A255" t="s">
        <v>299</v>
      </c>
      <c r="B255" s="1">
        <v>45763</v>
      </c>
      <c r="C255" t="s">
        <v>56</v>
      </c>
      <c r="D255" t="s">
        <v>20</v>
      </c>
      <c r="E255" t="s">
        <v>97</v>
      </c>
      <c r="F255">
        <v>3</v>
      </c>
      <c r="G255">
        <v>400</v>
      </c>
      <c r="H255">
        <v>1020</v>
      </c>
      <c r="I255">
        <v>0.15</v>
      </c>
      <c r="J255">
        <v>308.22000000000003</v>
      </c>
      <c r="K255" t="s">
        <v>26</v>
      </c>
      <c r="L255" t="s">
        <v>32</v>
      </c>
    </row>
    <row r="256" spans="1:12" x14ac:dyDescent="0.3">
      <c r="A256" t="s">
        <v>300</v>
      </c>
      <c r="B256" s="1">
        <v>45763</v>
      </c>
      <c r="C256" t="s">
        <v>13</v>
      </c>
      <c r="D256" t="s">
        <v>90</v>
      </c>
      <c r="E256" t="s">
        <v>54</v>
      </c>
      <c r="F256">
        <v>10</v>
      </c>
      <c r="G256">
        <v>7000</v>
      </c>
      <c r="H256">
        <v>70000</v>
      </c>
      <c r="I256">
        <v>0</v>
      </c>
      <c r="J256">
        <v>14846.47</v>
      </c>
      <c r="K256" t="s">
        <v>22</v>
      </c>
      <c r="L256" t="s">
        <v>17</v>
      </c>
    </row>
    <row r="257" spans="1:12" x14ac:dyDescent="0.3">
      <c r="A257" t="s">
        <v>301</v>
      </c>
      <c r="B257" s="1">
        <v>45807</v>
      </c>
      <c r="C257" t="s">
        <v>56</v>
      </c>
      <c r="D257" t="s">
        <v>30</v>
      </c>
      <c r="E257" t="s">
        <v>41</v>
      </c>
      <c r="F257">
        <v>6</v>
      </c>
      <c r="G257">
        <v>600</v>
      </c>
      <c r="H257">
        <v>3240</v>
      </c>
      <c r="I257">
        <v>0.1</v>
      </c>
      <c r="J257">
        <v>985.46</v>
      </c>
      <c r="K257" t="s">
        <v>26</v>
      </c>
      <c r="L257" t="s">
        <v>17</v>
      </c>
    </row>
    <row r="258" spans="1:12" x14ac:dyDescent="0.3">
      <c r="A258" t="s">
        <v>302</v>
      </c>
      <c r="B258" s="1">
        <v>45844</v>
      </c>
      <c r="C258" t="s">
        <v>28</v>
      </c>
      <c r="D258" t="s">
        <v>20</v>
      </c>
      <c r="E258" t="s">
        <v>21</v>
      </c>
      <c r="F258">
        <v>3</v>
      </c>
      <c r="G258">
        <v>650</v>
      </c>
      <c r="H258">
        <v>1560</v>
      </c>
      <c r="I258">
        <v>0.2</v>
      </c>
      <c r="J258">
        <v>239.32</v>
      </c>
      <c r="K258" t="s">
        <v>22</v>
      </c>
      <c r="L258" t="s">
        <v>17</v>
      </c>
    </row>
    <row r="259" spans="1:12" x14ac:dyDescent="0.3">
      <c r="A259" t="s">
        <v>303</v>
      </c>
      <c r="B259" s="1">
        <v>46005</v>
      </c>
      <c r="C259" t="s">
        <v>35</v>
      </c>
      <c r="D259" t="s">
        <v>30</v>
      </c>
      <c r="E259" t="s">
        <v>82</v>
      </c>
      <c r="F259">
        <v>7</v>
      </c>
      <c r="G259">
        <v>250</v>
      </c>
      <c r="H259">
        <v>1662.5</v>
      </c>
      <c r="I259">
        <v>0.05</v>
      </c>
      <c r="J259">
        <v>279.72000000000003</v>
      </c>
      <c r="K259" t="s">
        <v>22</v>
      </c>
      <c r="L259" t="s">
        <v>23</v>
      </c>
    </row>
    <row r="260" spans="1:12" x14ac:dyDescent="0.3">
      <c r="A260" t="s">
        <v>304</v>
      </c>
      <c r="B260" s="1">
        <v>45688</v>
      </c>
      <c r="C260" t="s">
        <v>28</v>
      </c>
      <c r="D260" t="s">
        <v>30</v>
      </c>
      <c r="E260" t="s">
        <v>41</v>
      </c>
      <c r="F260">
        <v>4</v>
      </c>
      <c r="G260">
        <v>600</v>
      </c>
      <c r="H260">
        <v>2280</v>
      </c>
      <c r="I260">
        <v>0.05</v>
      </c>
      <c r="J260">
        <v>377.61</v>
      </c>
      <c r="K260" t="s">
        <v>26</v>
      </c>
      <c r="L260" t="s">
        <v>32</v>
      </c>
    </row>
    <row r="261" spans="1:12" x14ac:dyDescent="0.3">
      <c r="A261" t="s">
        <v>305</v>
      </c>
      <c r="B261" s="1">
        <v>45839</v>
      </c>
      <c r="C261" t="s">
        <v>13</v>
      </c>
      <c r="D261" t="s">
        <v>14</v>
      </c>
      <c r="E261" t="s">
        <v>25</v>
      </c>
      <c r="F261">
        <v>6</v>
      </c>
      <c r="G261">
        <v>3200</v>
      </c>
      <c r="H261">
        <v>19200</v>
      </c>
      <c r="I261">
        <v>0</v>
      </c>
      <c r="J261">
        <v>5845.19</v>
      </c>
      <c r="K261" t="s">
        <v>26</v>
      </c>
      <c r="L261" t="s">
        <v>23</v>
      </c>
    </row>
    <row r="262" spans="1:12" x14ac:dyDescent="0.3">
      <c r="A262" t="s">
        <v>306</v>
      </c>
      <c r="B262" s="1">
        <v>45771</v>
      </c>
      <c r="C262" t="s">
        <v>56</v>
      </c>
      <c r="D262" t="s">
        <v>14</v>
      </c>
      <c r="E262" t="s">
        <v>15</v>
      </c>
      <c r="F262">
        <v>6</v>
      </c>
      <c r="G262">
        <v>1200</v>
      </c>
      <c r="H262">
        <v>7200</v>
      </c>
      <c r="I262">
        <v>0</v>
      </c>
      <c r="J262">
        <v>1350.1</v>
      </c>
      <c r="K262" t="s">
        <v>22</v>
      </c>
      <c r="L262" t="s">
        <v>17</v>
      </c>
    </row>
    <row r="263" spans="1:12" x14ac:dyDescent="0.3">
      <c r="A263" t="s">
        <v>307</v>
      </c>
      <c r="B263" s="1">
        <v>45844</v>
      </c>
      <c r="C263" t="s">
        <v>19</v>
      </c>
      <c r="D263" t="s">
        <v>14</v>
      </c>
      <c r="E263" t="s">
        <v>65</v>
      </c>
      <c r="F263">
        <v>2</v>
      </c>
      <c r="G263">
        <v>700</v>
      </c>
      <c r="H263">
        <v>1330</v>
      </c>
      <c r="I263">
        <v>0.05</v>
      </c>
      <c r="J263">
        <v>248.66</v>
      </c>
      <c r="K263" t="s">
        <v>26</v>
      </c>
      <c r="L263" t="s">
        <v>32</v>
      </c>
    </row>
    <row r="264" spans="1:12" x14ac:dyDescent="0.3">
      <c r="A264" t="s">
        <v>308</v>
      </c>
      <c r="B264" s="1">
        <v>45682</v>
      </c>
      <c r="C264" t="s">
        <v>28</v>
      </c>
      <c r="D264" t="s">
        <v>36</v>
      </c>
      <c r="E264" t="s">
        <v>37</v>
      </c>
      <c r="F264">
        <v>5</v>
      </c>
      <c r="G264">
        <v>12000</v>
      </c>
      <c r="H264">
        <v>51000</v>
      </c>
      <c r="I264">
        <v>0.15</v>
      </c>
      <c r="J264">
        <v>9312.31</v>
      </c>
      <c r="K264" t="s">
        <v>22</v>
      </c>
      <c r="L264" t="s">
        <v>23</v>
      </c>
    </row>
    <row r="265" spans="1:12" x14ac:dyDescent="0.3">
      <c r="A265" t="s">
        <v>309</v>
      </c>
      <c r="B265" s="1">
        <v>45770</v>
      </c>
      <c r="C265" t="s">
        <v>28</v>
      </c>
      <c r="D265" t="s">
        <v>30</v>
      </c>
      <c r="E265" t="s">
        <v>47</v>
      </c>
      <c r="F265">
        <v>10</v>
      </c>
      <c r="G265">
        <v>450</v>
      </c>
      <c r="H265">
        <v>4500</v>
      </c>
      <c r="I265">
        <v>0</v>
      </c>
      <c r="J265">
        <v>1393.88</v>
      </c>
      <c r="K265" t="s">
        <v>16</v>
      </c>
      <c r="L265" t="s">
        <v>23</v>
      </c>
    </row>
    <row r="266" spans="1:12" x14ac:dyDescent="0.3">
      <c r="A266" t="s">
        <v>310</v>
      </c>
      <c r="B266" s="1">
        <v>45973</v>
      </c>
      <c r="C266" t="s">
        <v>28</v>
      </c>
      <c r="D266" t="s">
        <v>36</v>
      </c>
      <c r="E266" t="s">
        <v>91</v>
      </c>
      <c r="F266">
        <v>6</v>
      </c>
      <c r="G266">
        <v>8500</v>
      </c>
      <c r="H266">
        <v>43350</v>
      </c>
      <c r="I266">
        <v>0.15</v>
      </c>
      <c r="J266">
        <v>-1921.57</v>
      </c>
      <c r="K266" t="s">
        <v>22</v>
      </c>
      <c r="L266" t="s">
        <v>23</v>
      </c>
    </row>
    <row r="267" spans="1:12" x14ac:dyDescent="0.3">
      <c r="A267" t="s">
        <v>311</v>
      </c>
      <c r="B267" s="1">
        <v>45792</v>
      </c>
      <c r="C267" t="s">
        <v>19</v>
      </c>
      <c r="D267" t="s">
        <v>30</v>
      </c>
      <c r="E267" t="s">
        <v>47</v>
      </c>
      <c r="F267">
        <v>4</v>
      </c>
      <c r="G267">
        <v>450</v>
      </c>
      <c r="H267">
        <v>1710</v>
      </c>
      <c r="I267">
        <v>0.05</v>
      </c>
      <c r="J267">
        <v>568.67999999999995</v>
      </c>
      <c r="K267" t="s">
        <v>26</v>
      </c>
      <c r="L267" t="s">
        <v>23</v>
      </c>
    </row>
    <row r="268" spans="1:12" x14ac:dyDescent="0.3">
      <c r="A268" t="s">
        <v>312</v>
      </c>
      <c r="B268" s="1">
        <v>45842</v>
      </c>
      <c r="C268" t="s">
        <v>13</v>
      </c>
      <c r="D268" t="s">
        <v>30</v>
      </c>
      <c r="E268" t="s">
        <v>47</v>
      </c>
      <c r="F268">
        <v>2</v>
      </c>
      <c r="G268">
        <v>450</v>
      </c>
      <c r="H268">
        <v>765</v>
      </c>
      <c r="I268">
        <v>0.15</v>
      </c>
      <c r="J268">
        <v>36.729999999999997</v>
      </c>
      <c r="K268" t="s">
        <v>16</v>
      </c>
      <c r="L268" t="s">
        <v>32</v>
      </c>
    </row>
    <row r="269" spans="1:12" x14ac:dyDescent="0.3">
      <c r="A269" t="s">
        <v>313</v>
      </c>
      <c r="B269" s="1">
        <v>45866</v>
      </c>
      <c r="C269" t="s">
        <v>56</v>
      </c>
      <c r="D269" t="s">
        <v>36</v>
      </c>
      <c r="E269" t="s">
        <v>91</v>
      </c>
      <c r="F269">
        <v>8</v>
      </c>
      <c r="G269">
        <v>8500</v>
      </c>
      <c r="H269">
        <v>68000</v>
      </c>
      <c r="I269">
        <v>0</v>
      </c>
      <c r="J269">
        <v>16675.400000000001</v>
      </c>
      <c r="K269" t="s">
        <v>16</v>
      </c>
      <c r="L269" t="s">
        <v>32</v>
      </c>
    </row>
    <row r="270" spans="1:12" x14ac:dyDescent="0.3">
      <c r="A270" t="s">
        <v>314</v>
      </c>
      <c r="B270" s="1">
        <v>45869</v>
      </c>
      <c r="C270" t="s">
        <v>13</v>
      </c>
      <c r="D270" t="s">
        <v>20</v>
      </c>
      <c r="E270" t="s">
        <v>39</v>
      </c>
      <c r="F270">
        <v>1</v>
      </c>
      <c r="G270">
        <v>2800</v>
      </c>
      <c r="H270">
        <v>2240</v>
      </c>
      <c r="I270">
        <v>0.2</v>
      </c>
      <c r="J270">
        <v>513.79</v>
      </c>
      <c r="K270" t="s">
        <v>22</v>
      </c>
      <c r="L270" t="s">
        <v>23</v>
      </c>
    </row>
    <row r="271" spans="1:12" x14ac:dyDescent="0.3">
      <c r="A271" t="s">
        <v>315</v>
      </c>
      <c r="B271" s="1">
        <v>46007</v>
      </c>
      <c r="C271" t="s">
        <v>13</v>
      </c>
      <c r="D271" t="s">
        <v>20</v>
      </c>
      <c r="E271" t="s">
        <v>21</v>
      </c>
      <c r="F271">
        <v>1</v>
      </c>
      <c r="G271">
        <v>650</v>
      </c>
      <c r="H271">
        <v>617.5</v>
      </c>
      <c r="I271">
        <v>0.05</v>
      </c>
      <c r="J271">
        <v>131.18</v>
      </c>
      <c r="K271" t="s">
        <v>22</v>
      </c>
      <c r="L271" t="s">
        <v>17</v>
      </c>
    </row>
    <row r="272" spans="1:12" x14ac:dyDescent="0.3">
      <c r="A272" t="s">
        <v>316</v>
      </c>
      <c r="B272" s="1">
        <v>45943</v>
      </c>
      <c r="C272" t="s">
        <v>28</v>
      </c>
      <c r="D272" t="s">
        <v>20</v>
      </c>
      <c r="E272" t="s">
        <v>21</v>
      </c>
      <c r="F272">
        <v>2</v>
      </c>
      <c r="G272">
        <v>650</v>
      </c>
      <c r="H272">
        <v>1300</v>
      </c>
      <c r="I272">
        <v>0</v>
      </c>
      <c r="J272">
        <v>465.1</v>
      </c>
      <c r="K272" t="s">
        <v>26</v>
      </c>
      <c r="L272" t="s">
        <v>23</v>
      </c>
    </row>
    <row r="273" spans="1:12" x14ac:dyDescent="0.3">
      <c r="A273" t="s">
        <v>317</v>
      </c>
      <c r="B273" s="1">
        <v>45671</v>
      </c>
      <c r="C273" t="s">
        <v>13</v>
      </c>
      <c r="D273" t="s">
        <v>30</v>
      </c>
      <c r="E273" t="s">
        <v>82</v>
      </c>
      <c r="F273">
        <v>8</v>
      </c>
      <c r="G273">
        <v>250</v>
      </c>
      <c r="H273">
        <v>2000</v>
      </c>
      <c r="I273">
        <v>0</v>
      </c>
      <c r="J273">
        <v>507.23</v>
      </c>
      <c r="K273" t="s">
        <v>22</v>
      </c>
      <c r="L273" t="s">
        <v>17</v>
      </c>
    </row>
    <row r="274" spans="1:12" x14ac:dyDescent="0.3">
      <c r="A274" t="s">
        <v>318</v>
      </c>
      <c r="B274" s="1">
        <v>45873</v>
      </c>
      <c r="C274" t="s">
        <v>19</v>
      </c>
      <c r="D274" t="s">
        <v>14</v>
      </c>
      <c r="E274" t="s">
        <v>51</v>
      </c>
      <c r="F274">
        <v>7</v>
      </c>
      <c r="G274">
        <v>2500</v>
      </c>
      <c r="H274">
        <v>17500</v>
      </c>
      <c r="I274">
        <v>0</v>
      </c>
      <c r="J274">
        <v>5765.93</v>
      </c>
      <c r="K274" t="s">
        <v>26</v>
      </c>
      <c r="L274" t="s">
        <v>23</v>
      </c>
    </row>
    <row r="275" spans="1:12" x14ac:dyDescent="0.3">
      <c r="A275" t="s">
        <v>319</v>
      </c>
      <c r="B275" s="1">
        <v>45663</v>
      </c>
      <c r="C275" t="s">
        <v>19</v>
      </c>
      <c r="D275" t="s">
        <v>36</v>
      </c>
      <c r="E275" t="s">
        <v>37</v>
      </c>
      <c r="F275">
        <v>5</v>
      </c>
      <c r="G275">
        <v>1800</v>
      </c>
      <c r="H275">
        <v>9000</v>
      </c>
      <c r="I275">
        <v>0</v>
      </c>
      <c r="J275">
        <v>3026.47</v>
      </c>
      <c r="K275" t="s">
        <v>22</v>
      </c>
      <c r="L275" t="s">
        <v>32</v>
      </c>
    </row>
    <row r="276" spans="1:12" x14ac:dyDescent="0.3">
      <c r="A276" t="s">
        <v>320</v>
      </c>
      <c r="B276" s="1">
        <v>46009</v>
      </c>
      <c r="C276" t="s">
        <v>28</v>
      </c>
      <c r="D276" t="s">
        <v>14</v>
      </c>
      <c r="E276" t="s">
        <v>15</v>
      </c>
      <c r="F276">
        <v>2</v>
      </c>
      <c r="G276">
        <v>1200</v>
      </c>
      <c r="H276">
        <v>2160</v>
      </c>
      <c r="I276">
        <v>0.1</v>
      </c>
      <c r="J276">
        <v>738.54</v>
      </c>
      <c r="K276" t="s">
        <v>22</v>
      </c>
      <c r="L276" t="s">
        <v>23</v>
      </c>
    </row>
    <row r="277" spans="1:12" x14ac:dyDescent="0.3">
      <c r="A277" t="s">
        <v>321</v>
      </c>
      <c r="B277" s="1">
        <v>45905</v>
      </c>
      <c r="C277" t="s">
        <v>35</v>
      </c>
      <c r="D277" t="s">
        <v>14</v>
      </c>
      <c r="E277" t="s">
        <v>15</v>
      </c>
      <c r="F277">
        <v>3</v>
      </c>
      <c r="G277">
        <v>1200</v>
      </c>
      <c r="H277">
        <v>3600</v>
      </c>
      <c r="I277">
        <v>0</v>
      </c>
      <c r="J277">
        <v>1234.98</v>
      </c>
      <c r="K277" t="s">
        <v>26</v>
      </c>
      <c r="L277" t="s">
        <v>17</v>
      </c>
    </row>
    <row r="278" spans="1:12" x14ac:dyDescent="0.3">
      <c r="A278" t="s">
        <v>322</v>
      </c>
      <c r="B278" s="1">
        <v>46022</v>
      </c>
      <c r="C278" t="s">
        <v>56</v>
      </c>
      <c r="D278" t="s">
        <v>30</v>
      </c>
      <c r="E278" t="s">
        <v>82</v>
      </c>
      <c r="F278">
        <v>7</v>
      </c>
      <c r="G278">
        <v>250</v>
      </c>
      <c r="H278">
        <v>1750</v>
      </c>
      <c r="I278">
        <v>0</v>
      </c>
      <c r="J278">
        <v>615.72</v>
      </c>
      <c r="K278" t="s">
        <v>16</v>
      </c>
      <c r="L278" t="s">
        <v>17</v>
      </c>
    </row>
    <row r="279" spans="1:12" x14ac:dyDescent="0.3">
      <c r="A279" t="s">
        <v>323</v>
      </c>
      <c r="B279" s="1">
        <v>45958</v>
      </c>
      <c r="C279" t="s">
        <v>13</v>
      </c>
      <c r="D279" t="s">
        <v>30</v>
      </c>
      <c r="E279" t="s">
        <v>41</v>
      </c>
      <c r="F279">
        <v>10</v>
      </c>
      <c r="G279">
        <v>600</v>
      </c>
      <c r="H279">
        <v>6000</v>
      </c>
      <c r="I279">
        <v>0</v>
      </c>
      <c r="J279">
        <v>1858.72</v>
      </c>
      <c r="K279" t="s">
        <v>16</v>
      </c>
      <c r="L279" t="s">
        <v>32</v>
      </c>
    </row>
    <row r="280" spans="1:12" x14ac:dyDescent="0.3">
      <c r="A280" t="s">
        <v>324</v>
      </c>
      <c r="B280" s="1">
        <v>45887</v>
      </c>
      <c r="C280" t="s">
        <v>19</v>
      </c>
      <c r="D280" t="s">
        <v>20</v>
      </c>
      <c r="E280" t="s">
        <v>21</v>
      </c>
      <c r="F280">
        <v>1</v>
      </c>
      <c r="G280">
        <v>650</v>
      </c>
      <c r="H280">
        <v>552.5</v>
      </c>
      <c r="I280">
        <v>0.15</v>
      </c>
      <c r="J280">
        <v>178.21</v>
      </c>
      <c r="K280" t="s">
        <v>26</v>
      </c>
      <c r="L280" t="s">
        <v>32</v>
      </c>
    </row>
    <row r="281" spans="1:12" x14ac:dyDescent="0.3">
      <c r="A281" t="s">
        <v>325</v>
      </c>
      <c r="B281" s="1">
        <v>45855</v>
      </c>
      <c r="C281" t="s">
        <v>19</v>
      </c>
      <c r="D281" t="s">
        <v>20</v>
      </c>
      <c r="E281" t="s">
        <v>84</v>
      </c>
      <c r="F281">
        <v>2</v>
      </c>
      <c r="G281">
        <v>3200</v>
      </c>
      <c r="H281">
        <v>5760</v>
      </c>
      <c r="I281">
        <v>0.1</v>
      </c>
      <c r="J281">
        <v>1210.83</v>
      </c>
      <c r="K281" t="s">
        <v>26</v>
      </c>
      <c r="L281" t="s">
        <v>23</v>
      </c>
    </row>
    <row r="282" spans="1:12" x14ac:dyDescent="0.3">
      <c r="A282" t="s">
        <v>326</v>
      </c>
      <c r="B282" s="1">
        <v>45718</v>
      </c>
      <c r="C282" t="s">
        <v>35</v>
      </c>
      <c r="D282" t="s">
        <v>20</v>
      </c>
      <c r="E282" t="s">
        <v>39</v>
      </c>
      <c r="F282">
        <v>8</v>
      </c>
      <c r="G282">
        <v>2800</v>
      </c>
      <c r="H282">
        <v>20160</v>
      </c>
      <c r="I282">
        <v>0.1</v>
      </c>
      <c r="J282">
        <v>4790.2299999999996</v>
      </c>
      <c r="K282" t="s">
        <v>16</v>
      </c>
      <c r="L282" t="s">
        <v>23</v>
      </c>
    </row>
    <row r="283" spans="1:12" x14ac:dyDescent="0.3">
      <c r="A283" t="s">
        <v>327</v>
      </c>
      <c r="B283" s="1">
        <v>45818</v>
      </c>
      <c r="C283" t="s">
        <v>13</v>
      </c>
      <c r="D283" t="s">
        <v>20</v>
      </c>
      <c r="E283" t="s">
        <v>84</v>
      </c>
      <c r="F283">
        <v>4</v>
      </c>
      <c r="G283">
        <v>3200</v>
      </c>
      <c r="H283">
        <v>12160</v>
      </c>
      <c r="I283">
        <v>0.05</v>
      </c>
      <c r="J283">
        <v>2071.17</v>
      </c>
      <c r="K283" t="s">
        <v>26</v>
      </c>
      <c r="L283" t="s">
        <v>17</v>
      </c>
    </row>
    <row r="284" spans="1:12" x14ac:dyDescent="0.3">
      <c r="A284" t="s">
        <v>328</v>
      </c>
      <c r="B284" s="1">
        <v>45882</v>
      </c>
      <c r="C284" t="s">
        <v>19</v>
      </c>
      <c r="D284" t="s">
        <v>20</v>
      </c>
      <c r="E284" t="s">
        <v>84</v>
      </c>
      <c r="F284">
        <v>3</v>
      </c>
      <c r="G284">
        <v>3200</v>
      </c>
      <c r="H284">
        <v>8640</v>
      </c>
      <c r="I284">
        <v>0.1</v>
      </c>
      <c r="J284">
        <v>1616.91</v>
      </c>
      <c r="K284" t="s">
        <v>26</v>
      </c>
      <c r="L284" t="s">
        <v>17</v>
      </c>
    </row>
    <row r="285" spans="1:12" x14ac:dyDescent="0.3">
      <c r="A285" t="s">
        <v>329</v>
      </c>
      <c r="B285" s="1">
        <v>45998</v>
      </c>
      <c r="C285" t="s">
        <v>28</v>
      </c>
      <c r="D285" t="s">
        <v>20</v>
      </c>
      <c r="E285" t="s">
        <v>97</v>
      </c>
      <c r="F285">
        <v>2</v>
      </c>
      <c r="G285">
        <v>400</v>
      </c>
      <c r="H285">
        <v>760</v>
      </c>
      <c r="I285">
        <v>0.05</v>
      </c>
      <c r="J285">
        <v>105.87</v>
      </c>
      <c r="K285" t="s">
        <v>22</v>
      </c>
      <c r="L285" t="s">
        <v>17</v>
      </c>
    </row>
    <row r="286" spans="1:12" x14ac:dyDescent="0.3">
      <c r="A286" t="s">
        <v>330</v>
      </c>
      <c r="B286" s="1">
        <v>46000</v>
      </c>
      <c r="C286" t="s">
        <v>35</v>
      </c>
      <c r="D286" t="s">
        <v>36</v>
      </c>
      <c r="E286" t="s">
        <v>37</v>
      </c>
      <c r="F286">
        <v>5</v>
      </c>
      <c r="G286">
        <v>1800</v>
      </c>
      <c r="H286">
        <v>7200</v>
      </c>
      <c r="I286">
        <v>0.2</v>
      </c>
      <c r="J286">
        <v>409.1</v>
      </c>
      <c r="K286" t="s">
        <v>16</v>
      </c>
      <c r="L286" t="s">
        <v>32</v>
      </c>
    </row>
    <row r="287" spans="1:12" x14ac:dyDescent="0.3">
      <c r="A287" t="s">
        <v>331</v>
      </c>
      <c r="B287" s="1">
        <v>45719</v>
      </c>
      <c r="C287" t="s">
        <v>13</v>
      </c>
      <c r="D287" t="s">
        <v>14</v>
      </c>
      <c r="E287" t="s">
        <v>15</v>
      </c>
      <c r="F287">
        <v>5</v>
      </c>
      <c r="G287">
        <v>1200</v>
      </c>
      <c r="H287">
        <v>5400</v>
      </c>
      <c r="I287">
        <v>0.1</v>
      </c>
      <c r="J287">
        <v>1946.39</v>
      </c>
      <c r="K287" t="s">
        <v>22</v>
      </c>
      <c r="L287" t="s">
        <v>32</v>
      </c>
    </row>
    <row r="288" spans="1:12" x14ac:dyDescent="0.3">
      <c r="A288" t="s">
        <v>332</v>
      </c>
      <c r="B288" s="1">
        <v>45661</v>
      </c>
      <c r="C288" t="s">
        <v>19</v>
      </c>
      <c r="D288" t="s">
        <v>14</v>
      </c>
      <c r="E288" t="s">
        <v>65</v>
      </c>
      <c r="F288">
        <v>9</v>
      </c>
      <c r="G288">
        <v>700</v>
      </c>
      <c r="H288">
        <v>6300</v>
      </c>
      <c r="I288">
        <v>0</v>
      </c>
      <c r="J288">
        <v>1298.46</v>
      </c>
      <c r="K288" t="s">
        <v>16</v>
      </c>
      <c r="L288" t="s">
        <v>32</v>
      </c>
    </row>
    <row r="289" spans="1:12" x14ac:dyDescent="0.3">
      <c r="A289" t="s">
        <v>333</v>
      </c>
      <c r="B289" s="1">
        <v>45668</v>
      </c>
      <c r="C289" t="s">
        <v>35</v>
      </c>
      <c r="D289" t="s">
        <v>30</v>
      </c>
      <c r="E289" t="s">
        <v>82</v>
      </c>
      <c r="F289">
        <v>3</v>
      </c>
      <c r="G289">
        <v>250</v>
      </c>
      <c r="H289">
        <v>750</v>
      </c>
      <c r="I289">
        <v>0</v>
      </c>
      <c r="J289">
        <v>253.44</v>
      </c>
      <c r="K289" t="s">
        <v>16</v>
      </c>
      <c r="L289" t="s">
        <v>17</v>
      </c>
    </row>
    <row r="290" spans="1:12" x14ac:dyDescent="0.3">
      <c r="A290" t="s">
        <v>334</v>
      </c>
      <c r="B290" s="1">
        <v>45872</v>
      </c>
      <c r="C290" t="s">
        <v>35</v>
      </c>
      <c r="D290" t="s">
        <v>30</v>
      </c>
      <c r="E290" t="s">
        <v>47</v>
      </c>
      <c r="F290">
        <v>4</v>
      </c>
      <c r="G290">
        <v>450</v>
      </c>
      <c r="H290">
        <v>1440</v>
      </c>
      <c r="I290">
        <v>0.2</v>
      </c>
      <c r="J290">
        <v>91.17</v>
      </c>
      <c r="K290" t="s">
        <v>26</v>
      </c>
      <c r="L290" t="s">
        <v>32</v>
      </c>
    </row>
    <row r="291" spans="1:12" x14ac:dyDescent="0.3">
      <c r="A291" t="s">
        <v>335</v>
      </c>
      <c r="B291" s="1">
        <v>46005</v>
      </c>
      <c r="C291" t="s">
        <v>35</v>
      </c>
      <c r="D291" t="s">
        <v>36</v>
      </c>
      <c r="E291" t="s">
        <v>37</v>
      </c>
      <c r="F291">
        <v>3</v>
      </c>
      <c r="G291">
        <v>1800</v>
      </c>
      <c r="H291">
        <v>5130</v>
      </c>
      <c r="I291">
        <v>0.05</v>
      </c>
      <c r="J291">
        <v>1649.97</v>
      </c>
      <c r="K291" t="s">
        <v>26</v>
      </c>
      <c r="L291" t="s">
        <v>32</v>
      </c>
    </row>
    <row r="292" spans="1:12" x14ac:dyDescent="0.3">
      <c r="A292" t="s">
        <v>336</v>
      </c>
      <c r="B292" s="1">
        <v>45684</v>
      </c>
      <c r="C292" t="s">
        <v>56</v>
      </c>
      <c r="D292" t="s">
        <v>20</v>
      </c>
      <c r="E292" t="s">
        <v>97</v>
      </c>
      <c r="F292">
        <v>8</v>
      </c>
      <c r="G292">
        <v>400</v>
      </c>
      <c r="H292">
        <v>3200</v>
      </c>
      <c r="I292">
        <v>0</v>
      </c>
      <c r="J292">
        <v>810.62</v>
      </c>
      <c r="K292" t="s">
        <v>22</v>
      </c>
      <c r="L292" t="s">
        <v>32</v>
      </c>
    </row>
    <row r="293" spans="1:12" x14ac:dyDescent="0.3">
      <c r="A293" t="s">
        <v>337</v>
      </c>
      <c r="B293" s="1">
        <v>45872</v>
      </c>
      <c r="C293" t="s">
        <v>35</v>
      </c>
      <c r="D293" t="s">
        <v>36</v>
      </c>
      <c r="E293" t="s">
        <v>37</v>
      </c>
      <c r="F293">
        <v>7</v>
      </c>
      <c r="G293">
        <v>1800</v>
      </c>
      <c r="H293">
        <v>12600</v>
      </c>
      <c r="I293">
        <v>0</v>
      </c>
      <c r="J293">
        <v>4163.7299999999996</v>
      </c>
      <c r="K293" t="s">
        <v>16</v>
      </c>
      <c r="L293" t="s">
        <v>23</v>
      </c>
    </row>
    <row r="294" spans="1:12" x14ac:dyDescent="0.3">
      <c r="A294" t="s">
        <v>338</v>
      </c>
      <c r="B294" s="1">
        <v>45994</v>
      </c>
      <c r="C294" t="s">
        <v>35</v>
      </c>
      <c r="D294" t="s">
        <v>20</v>
      </c>
      <c r="E294" t="s">
        <v>21</v>
      </c>
      <c r="F294">
        <v>10</v>
      </c>
      <c r="G294">
        <v>650</v>
      </c>
      <c r="H294">
        <v>5850</v>
      </c>
      <c r="I294">
        <v>0.1</v>
      </c>
      <c r="J294">
        <v>2147.69</v>
      </c>
      <c r="K294" t="s">
        <v>22</v>
      </c>
      <c r="L294" t="s">
        <v>32</v>
      </c>
    </row>
    <row r="295" spans="1:12" x14ac:dyDescent="0.3">
      <c r="A295" t="s">
        <v>339</v>
      </c>
      <c r="B295" s="1">
        <v>46002</v>
      </c>
      <c r="C295" t="s">
        <v>19</v>
      </c>
      <c r="D295" t="s">
        <v>20</v>
      </c>
      <c r="E295" t="s">
        <v>97</v>
      </c>
      <c r="F295">
        <v>9</v>
      </c>
      <c r="G295">
        <v>400</v>
      </c>
      <c r="H295">
        <v>3060</v>
      </c>
      <c r="I295">
        <v>0.15</v>
      </c>
      <c r="J295">
        <v>313</v>
      </c>
      <c r="K295" t="s">
        <v>22</v>
      </c>
      <c r="L295" t="s">
        <v>17</v>
      </c>
    </row>
    <row r="296" spans="1:12" x14ac:dyDescent="0.3">
      <c r="A296" t="s">
        <v>340</v>
      </c>
      <c r="B296" s="1">
        <v>45806</v>
      </c>
      <c r="C296" t="s">
        <v>13</v>
      </c>
      <c r="D296" t="s">
        <v>36</v>
      </c>
      <c r="E296" t="s">
        <v>37</v>
      </c>
      <c r="F296">
        <v>10</v>
      </c>
      <c r="G296">
        <v>1800</v>
      </c>
      <c r="H296">
        <v>14400</v>
      </c>
      <c r="I296">
        <v>0.2</v>
      </c>
      <c r="J296">
        <v>-92.97</v>
      </c>
      <c r="K296" t="s">
        <v>26</v>
      </c>
      <c r="L296" t="s">
        <v>32</v>
      </c>
    </row>
    <row r="297" spans="1:12" x14ac:dyDescent="0.3">
      <c r="A297" t="s">
        <v>341</v>
      </c>
      <c r="B297" s="1">
        <v>45716</v>
      </c>
      <c r="C297" t="s">
        <v>13</v>
      </c>
      <c r="D297" t="s">
        <v>36</v>
      </c>
      <c r="E297" t="s">
        <v>54</v>
      </c>
      <c r="F297">
        <v>6</v>
      </c>
      <c r="G297">
        <v>7000</v>
      </c>
      <c r="H297">
        <v>33600</v>
      </c>
      <c r="I297">
        <v>0.2</v>
      </c>
      <c r="J297">
        <v>-812.64</v>
      </c>
      <c r="K297" t="s">
        <v>26</v>
      </c>
      <c r="L297" t="s">
        <v>17</v>
      </c>
    </row>
    <row r="298" spans="1:12" x14ac:dyDescent="0.3">
      <c r="A298" t="s">
        <v>342</v>
      </c>
      <c r="B298" s="1">
        <v>45834</v>
      </c>
      <c r="C298" t="s">
        <v>19</v>
      </c>
      <c r="D298" t="s">
        <v>14</v>
      </c>
      <c r="E298" t="s">
        <v>65</v>
      </c>
      <c r="F298">
        <v>9</v>
      </c>
      <c r="G298">
        <v>700</v>
      </c>
      <c r="H298">
        <v>6300</v>
      </c>
      <c r="I298">
        <v>0</v>
      </c>
      <c r="J298">
        <v>2135.35</v>
      </c>
      <c r="K298" t="s">
        <v>22</v>
      </c>
      <c r="L298" t="s">
        <v>23</v>
      </c>
    </row>
    <row r="299" spans="1:12" x14ac:dyDescent="0.3">
      <c r="A299" t="s">
        <v>343</v>
      </c>
      <c r="B299" s="1">
        <v>45743</v>
      </c>
      <c r="C299" t="s">
        <v>56</v>
      </c>
      <c r="D299" t="s">
        <v>36</v>
      </c>
      <c r="E299" t="s">
        <v>37</v>
      </c>
      <c r="F299">
        <v>5</v>
      </c>
      <c r="G299">
        <v>1800</v>
      </c>
      <c r="H299">
        <v>8550</v>
      </c>
      <c r="I299">
        <v>0.05</v>
      </c>
      <c r="J299">
        <v>3564.76</v>
      </c>
      <c r="K299" t="s">
        <v>16</v>
      </c>
      <c r="L299" t="s">
        <v>23</v>
      </c>
    </row>
    <row r="300" spans="1:12" x14ac:dyDescent="0.3">
      <c r="A300" t="s">
        <v>344</v>
      </c>
      <c r="B300" s="1">
        <v>45768</v>
      </c>
      <c r="C300" t="s">
        <v>19</v>
      </c>
      <c r="D300" t="s">
        <v>14</v>
      </c>
      <c r="E300" t="s">
        <v>65</v>
      </c>
      <c r="F300">
        <v>7</v>
      </c>
      <c r="G300">
        <v>700</v>
      </c>
      <c r="H300">
        <v>4900</v>
      </c>
      <c r="I300">
        <v>0</v>
      </c>
      <c r="J300">
        <v>1497.29</v>
      </c>
      <c r="K300" t="s">
        <v>22</v>
      </c>
      <c r="L300" t="s">
        <v>17</v>
      </c>
    </row>
    <row r="301" spans="1:12" x14ac:dyDescent="0.3">
      <c r="A301" t="s">
        <v>345</v>
      </c>
      <c r="B301" s="1">
        <v>45867</v>
      </c>
      <c r="C301" t="s">
        <v>56</v>
      </c>
      <c r="D301" t="s">
        <v>14</v>
      </c>
      <c r="E301" t="s">
        <v>15</v>
      </c>
      <c r="F301">
        <v>8</v>
      </c>
      <c r="G301">
        <v>1200</v>
      </c>
      <c r="H301">
        <v>9600</v>
      </c>
      <c r="I301">
        <v>0</v>
      </c>
      <c r="J301">
        <v>2951.08</v>
      </c>
      <c r="K301" t="s">
        <v>16</v>
      </c>
      <c r="L301" t="s">
        <v>32</v>
      </c>
    </row>
    <row r="302" spans="1:12" x14ac:dyDescent="0.3">
      <c r="A302" t="s">
        <v>346</v>
      </c>
      <c r="B302" s="1">
        <v>45952</v>
      </c>
      <c r="C302" t="s">
        <v>35</v>
      </c>
      <c r="D302" t="s">
        <v>20</v>
      </c>
      <c r="E302" t="s">
        <v>97</v>
      </c>
      <c r="F302">
        <v>1</v>
      </c>
      <c r="G302">
        <v>400</v>
      </c>
      <c r="H302">
        <v>380</v>
      </c>
      <c r="I302">
        <v>0.05</v>
      </c>
      <c r="J302">
        <v>56.48</v>
      </c>
      <c r="K302" t="s">
        <v>16</v>
      </c>
      <c r="L302" t="s">
        <v>17</v>
      </c>
    </row>
    <row r="303" spans="1:12" x14ac:dyDescent="0.3">
      <c r="A303" t="s">
        <v>347</v>
      </c>
      <c r="B303" s="1">
        <v>45750</v>
      </c>
      <c r="C303" t="s">
        <v>19</v>
      </c>
      <c r="D303" t="s">
        <v>14</v>
      </c>
      <c r="E303" t="s">
        <v>65</v>
      </c>
      <c r="F303">
        <v>3</v>
      </c>
      <c r="G303">
        <v>700</v>
      </c>
      <c r="H303">
        <v>1680</v>
      </c>
      <c r="I303">
        <v>0.2</v>
      </c>
      <c r="J303">
        <v>448.7</v>
      </c>
      <c r="K303" t="s">
        <v>16</v>
      </c>
      <c r="L303" t="s">
        <v>32</v>
      </c>
    </row>
    <row r="304" spans="1:12" x14ac:dyDescent="0.3">
      <c r="A304" t="s">
        <v>348</v>
      </c>
      <c r="B304" s="1">
        <v>45916</v>
      </c>
      <c r="C304" t="s">
        <v>35</v>
      </c>
      <c r="D304" t="s">
        <v>14</v>
      </c>
      <c r="E304" t="s">
        <v>25</v>
      </c>
      <c r="F304">
        <v>8</v>
      </c>
      <c r="G304">
        <v>3200</v>
      </c>
      <c r="H304">
        <v>20480</v>
      </c>
      <c r="I304">
        <v>0.2</v>
      </c>
      <c r="J304">
        <v>6212.37</v>
      </c>
      <c r="K304" t="s">
        <v>26</v>
      </c>
      <c r="L304" t="s">
        <v>23</v>
      </c>
    </row>
    <row r="305" spans="1:12" x14ac:dyDescent="0.3">
      <c r="A305" t="s">
        <v>349</v>
      </c>
      <c r="B305" s="1">
        <v>45792</v>
      </c>
      <c r="C305" t="s">
        <v>19</v>
      </c>
      <c r="D305" t="s">
        <v>30</v>
      </c>
      <c r="E305" t="s">
        <v>41</v>
      </c>
      <c r="F305">
        <v>3</v>
      </c>
      <c r="G305">
        <v>600</v>
      </c>
      <c r="H305">
        <v>1530</v>
      </c>
      <c r="I305">
        <v>0.15</v>
      </c>
      <c r="J305">
        <v>218.78</v>
      </c>
      <c r="K305" t="s">
        <v>22</v>
      </c>
      <c r="L305" t="s">
        <v>32</v>
      </c>
    </row>
    <row r="306" spans="1:12" x14ac:dyDescent="0.3">
      <c r="A306" t="s">
        <v>350</v>
      </c>
      <c r="B306" s="1">
        <v>45825</v>
      </c>
      <c r="C306" t="s">
        <v>56</v>
      </c>
      <c r="D306" t="s">
        <v>36</v>
      </c>
      <c r="E306" t="s">
        <v>54</v>
      </c>
      <c r="F306">
        <v>1</v>
      </c>
      <c r="G306">
        <v>7000</v>
      </c>
      <c r="H306">
        <v>5600</v>
      </c>
      <c r="I306">
        <v>0.2</v>
      </c>
      <c r="J306">
        <v>1264.29</v>
      </c>
      <c r="K306" t="s">
        <v>16</v>
      </c>
      <c r="L306" t="s">
        <v>23</v>
      </c>
    </row>
    <row r="307" spans="1:12" x14ac:dyDescent="0.3">
      <c r="A307" t="s">
        <v>351</v>
      </c>
      <c r="B307" s="1">
        <v>45884</v>
      </c>
      <c r="C307" t="s">
        <v>28</v>
      </c>
      <c r="D307" t="s">
        <v>20</v>
      </c>
      <c r="E307" t="s">
        <v>84</v>
      </c>
      <c r="F307">
        <v>5</v>
      </c>
      <c r="G307">
        <v>3200</v>
      </c>
      <c r="H307">
        <v>16000</v>
      </c>
      <c r="I307">
        <v>0</v>
      </c>
      <c r="J307">
        <v>5961.17</v>
      </c>
      <c r="K307" t="s">
        <v>22</v>
      </c>
      <c r="L307" t="s">
        <v>23</v>
      </c>
    </row>
    <row r="308" spans="1:12" x14ac:dyDescent="0.3">
      <c r="A308" t="s">
        <v>352</v>
      </c>
      <c r="B308" s="1">
        <v>46019</v>
      </c>
      <c r="C308" t="s">
        <v>35</v>
      </c>
      <c r="D308" t="s">
        <v>36</v>
      </c>
      <c r="E308" t="s">
        <v>54</v>
      </c>
      <c r="F308">
        <v>7</v>
      </c>
      <c r="G308">
        <v>7000</v>
      </c>
      <c r="H308">
        <v>41650</v>
      </c>
      <c r="I308">
        <v>0.15</v>
      </c>
      <c r="J308">
        <v>2420.2199999999998</v>
      </c>
      <c r="K308" t="s">
        <v>22</v>
      </c>
      <c r="L308" t="s">
        <v>32</v>
      </c>
    </row>
    <row r="309" spans="1:12" x14ac:dyDescent="0.3">
      <c r="A309" t="s">
        <v>353</v>
      </c>
      <c r="B309" s="1">
        <v>45753</v>
      </c>
      <c r="C309" t="s">
        <v>19</v>
      </c>
      <c r="D309" t="s">
        <v>14</v>
      </c>
      <c r="E309" t="s">
        <v>15</v>
      </c>
      <c r="F309">
        <v>9</v>
      </c>
      <c r="G309">
        <v>1200</v>
      </c>
      <c r="H309">
        <v>10800</v>
      </c>
      <c r="I309">
        <v>0</v>
      </c>
      <c r="J309">
        <v>4696.82</v>
      </c>
      <c r="K309" t="s">
        <v>26</v>
      </c>
      <c r="L309" t="s">
        <v>17</v>
      </c>
    </row>
    <row r="310" spans="1:12" x14ac:dyDescent="0.3">
      <c r="A310" t="s">
        <v>354</v>
      </c>
      <c r="B310" s="1">
        <v>45970</v>
      </c>
      <c r="C310" t="s">
        <v>35</v>
      </c>
      <c r="D310" t="s">
        <v>20</v>
      </c>
      <c r="E310" t="s">
        <v>97</v>
      </c>
      <c r="F310">
        <v>4</v>
      </c>
      <c r="G310">
        <v>400</v>
      </c>
      <c r="H310">
        <v>1600</v>
      </c>
      <c r="I310">
        <v>0</v>
      </c>
      <c r="J310">
        <v>-437.89</v>
      </c>
      <c r="K310" t="s">
        <v>16</v>
      </c>
      <c r="L310" t="s">
        <v>17</v>
      </c>
    </row>
    <row r="311" spans="1:12" x14ac:dyDescent="0.3">
      <c r="A311" t="s">
        <v>355</v>
      </c>
      <c r="B311" s="1">
        <v>45700</v>
      </c>
      <c r="C311" t="s">
        <v>56</v>
      </c>
      <c r="D311" t="s">
        <v>20</v>
      </c>
      <c r="E311" t="s">
        <v>97</v>
      </c>
      <c r="F311">
        <v>8</v>
      </c>
      <c r="G311">
        <v>400</v>
      </c>
      <c r="H311">
        <v>3040</v>
      </c>
      <c r="I311">
        <v>0.05</v>
      </c>
      <c r="J311">
        <v>842.25</v>
      </c>
      <c r="K311" t="s">
        <v>16</v>
      </c>
      <c r="L311" t="s">
        <v>32</v>
      </c>
    </row>
    <row r="312" spans="1:12" x14ac:dyDescent="0.3">
      <c r="A312" t="s">
        <v>356</v>
      </c>
      <c r="B312" s="1">
        <v>45674</v>
      </c>
      <c r="C312" t="s">
        <v>13</v>
      </c>
      <c r="D312" t="s">
        <v>14</v>
      </c>
      <c r="E312" t="s">
        <v>51</v>
      </c>
      <c r="F312">
        <v>2</v>
      </c>
      <c r="G312">
        <v>2500</v>
      </c>
      <c r="H312">
        <v>5000</v>
      </c>
      <c r="I312">
        <v>0</v>
      </c>
      <c r="J312">
        <v>2068.4499999999998</v>
      </c>
      <c r="K312" t="s">
        <v>16</v>
      </c>
      <c r="L312" t="s">
        <v>32</v>
      </c>
    </row>
    <row r="313" spans="1:12" x14ac:dyDescent="0.3">
      <c r="A313" t="s">
        <v>357</v>
      </c>
      <c r="B313" s="1">
        <v>45913</v>
      </c>
      <c r="C313" t="s">
        <v>56</v>
      </c>
      <c r="D313" t="s">
        <v>14</v>
      </c>
      <c r="E313" t="s">
        <v>65</v>
      </c>
      <c r="F313">
        <v>6</v>
      </c>
      <c r="G313">
        <v>700</v>
      </c>
      <c r="H313">
        <v>3990</v>
      </c>
      <c r="I313">
        <v>0.05</v>
      </c>
      <c r="J313">
        <v>564.67999999999995</v>
      </c>
      <c r="K313" t="s">
        <v>22</v>
      </c>
      <c r="L313" t="s">
        <v>32</v>
      </c>
    </row>
    <row r="314" spans="1:12" x14ac:dyDescent="0.3">
      <c r="A314" t="s">
        <v>358</v>
      </c>
      <c r="B314" s="1">
        <v>45746</v>
      </c>
      <c r="C314" t="s">
        <v>56</v>
      </c>
      <c r="D314" t="s">
        <v>20</v>
      </c>
      <c r="E314" t="s">
        <v>21</v>
      </c>
      <c r="F314">
        <v>3</v>
      </c>
      <c r="G314">
        <v>650</v>
      </c>
      <c r="H314">
        <v>1657.5</v>
      </c>
      <c r="I314">
        <v>0.15</v>
      </c>
      <c r="J314">
        <v>211.34</v>
      </c>
      <c r="K314" t="s">
        <v>16</v>
      </c>
      <c r="L314" t="s">
        <v>23</v>
      </c>
    </row>
    <row r="315" spans="1:12" x14ac:dyDescent="0.3">
      <c r="A315" t="s">
        <v>359</v>
      </c>
      <c r="B315" s="1">
        <v>45706</v>
      </c>
      <c r="C315" t="s">
        <v>19</v>
      </c>
      <c r="D315" t="s">
        <v>30</v>
      </c>
      <c r="E315" t="s">
        <v>82</v>
      </c>
      <c r="F315">
        <v>4</v>
      </c>
      <c r="G315">
        <v>250</v>
      </c>
      <c r="H315">
        <v>1000</v>
      </c>
      <c r="I315">
        <v>0</v>
      </c>
      <c r="J315">
        <v>341.71</v>
      </c>
      <c r="K315" t="s">
        <v>26</v>
      </c>
      <c r="L315" t="s">
        <v>32</v>
      </c>
    </row>
    <row r="316" spans="1:12" x14ac:dyDescent="0.3">
      <c r="A316" t="s">
        <v>360</v>
      </c>
      <c r="B316" s="1">
        <v>45740</v>
      </c>
      <c r="C316" t="s">
        <v>56</v>
      </c>
      <c r="D316" t="s">
        <v>36</v>
      </c>
      <c r="E316" t="s">
        <v>37</v>
      </c>
      <c r="F316">
        <v>7</v>
      </c>
      <c r="G316">
        <v>1800</v>
      </c>
      <c r="H316">
        <v>12600</v>
      </c>
      <c r="I316">
        <v>0</v>
      </c>
      <c r="J316">
        <v>5561.4</v>
      </c>
      <c r="K316" t="s">
        <v>22</v>
      </c>
      <c r="L316" t="s">
        <v>17</v>
      </c>
    </row>
    <row r="317" spans="1:12" x14ac:dyDescent="0.3">
      <c r="A317" t="s">
        <v>361</v>
      </c>
      <c r="B317" s="1">
        <v>45663</v>
      </c>
      <c r="C317" t="s">
        <v>19</v>
      </c>
      <c r="D317" t="s">
        <v>14</v>
      </c>
      <c r="E317" t="s">
        <v>25</v>
      </c>
      <c r="F317">
        <v>7</v>
      </c>
      <c r="G317">
        <v>3200</v>
      </c>
      <c r="H317">
        <v>20160</v>
      </c>
      <c r="I317">
        <v>0.1</v>
      </c>
      <c r="J317">
        <v>2430.09</v>
      </c>
      <c r="K317" t="s">
        <v>26</v>
      </c>
      <c r="L317" t="s">
        <v>17</v>
      </c>
    </row>
    <row r="318" spans="1:12" x14ac:dyDescent="0.3">
      <c r="A318" t="s">
        <v>362</v>
      </c>
      <c r="B318" s="1">
        <v>45910</v>
      </c>
      <c r="C318" t="s">
        <v>56</v>
      </c>
      <c r="D318" t="s">
        <v>36</v>
      </c>
      <c r="E318" t="s">
        <v>37</v>
      </c>
      <c r="F318">
        <v>9</v>
      </c>
      <c r="G318">
        <v>12000</v>
      </c>
      <c r="H318">
        <v>108000</v>
      </c>
      <c r="I318">
        <v>0</v>
      </c>
      <c r="J318">
        <v>38955.5</v>
      </c>
      <c r="K318" t="s">
        <v>22</v>
      </c>
      <c r="L318" t="s">
        <v>23</v>
      </c>
    </row>
    <row r="319" spans="1:12" x14ac:dyDescent="0.3">
      <c r="A319" t="s">
        <v>363</v>
      </c>
      <c r="B319" s="1">
        <v>45875</v>
      </c>
      <c r="C319" t="s">
        <v>19</v>
      </c>
      <c r="D319" t="s">
        <v>20</v>
      </c>
      <c r="E319" t="s">
        <v>97</v>
      </c>
      <c r="F319">
        <v>8</v>
      </c>
      <c r="G319">
        <v>400</v>
      </c>
      <c r="H319">
        <v>2880</v>
      </c>
      <c r="I319">
        <v>0.1</v>
      </c>
      <c r="J319">
        <v>1064.73</v>
      </c>
      <c r="K319" t="s">
        <v>16</v>
      </c>
      <c r="L319" t="s">
        <v>32</v>
      </c>
    </row>
    <row r="320" spans="1:12" x14ac:dyDescent="0.3">
      <c r="A320" t="s">
        <v>364</v>
      </c>
      <c r="B320" s="1">
        <v>45720</v>
      </c>
      <c r="C320" t="s">
        <v>19</v>
      </c>
      <c r="D320" t="s">
        <v>30</v>
      </c>
      <c r="E320" t="s">
        <v>41</v>
      </c>
      <c r="F320">
        <v>2</v>
      </c>
      <c r="G320">
        <v>600</v>
      </c>
      <c r="H320">
        <v>1200</v>
      </c>
      <c r="I320">
        <v>0</v>
      </c>
      <c r="J320">
        <v>324.42</v>
      </c>
      <c r="K320" t="s">
        <v>16</v>
      </c>
      <c r="L320" t="s">
        <v>17</v>
      </c>
    </row>
    <row r="321" spans="1:12" x14ac:dyDescent="0.3">
      <c r="A321" t="s">
        <v>365</v>
      </c>
      <c r="B321" s="1">
        <v>45987</v>
      </c>
      <c r="C321" t="s">
        <v>13</v>
      </c>
      <c r="D321" t="s">
        <v>20</v>
      </c>
      <c r="E321" t="s">
        <v>39</v>
      </c>
      <c r="F321">
        <v>1</v>
      </c>
      <c r="G321">
        <v>2800</v>
      </c>
      <c r="H321">
        <v>2800</v>
      </c>
      <c r="I321">
        <v>0</v>
      </c>
      <c r="J321">
        <v>1132.74</v>
      </c>
      <c r="K321" t="s">
        <v>16</v>
      </c>
      <c r="L321" t="s">
        <v>32</v>
      </c>
    </row>
    <row r="322" spans="1:12" x14ac:dyDescent="0.3">
      <c r="A322" t="s">
        <v>366</v>
      </c>
      <c r="B322" s="1">
        <v>45754</v>
      </c>
      <c r="C322" t="s">
        <v>28</v>
      </c>
      <c r="D322" t="s">
        <v>36</v>
      </c>
      <c r="E322" t="s">
        <v>37</v>
      </c>
      <c r="F322">
        <v>2</v>
      </c>
      <c r="G322">
        <v>1800</v>
      </c>
      <c r="H322">
        <v>3240</v>
      </c>
      <c r="I322">
        <v>0.1</v>
      </c>
      <c r="J322">
        <v>300.35000000000002</v>
      </c>
      <c r="K322" t="s">
        <v>16</v>
      </c>
      <c r="L322" t="s">
        <v>32</v>
      </c>
    </row>
    <row r="323" spans="1:12" x14ac:dyDescent="0.3">
      <c r="A323" t="s">
        <v>367</v>
      </c>
      <c r="B323" s="1">
        <v>45970</v>
      </c>
      <c r="C323" t="s">
        <v>28</v>
      </c>
      <c r="D323" t="s">
        <v>30</v>
      </c>
      <c r="E323" t="s">
        <v>31</v>
      </c>
      <c r="F323">
        <v>1</v>
      </c>
      <c r="G323">
        <v>120</v>
      </c>
      <c r="H323">
        <v>120</v>
      </c>
      <c r="I323">
        <v>0</v>
      </c>
      <c r="J323">
        <v>48.5</v>
      </c>
      <c r="K323" t="s">
        <v>26</v>
      </c>
      <c r="L323" t="s">
        <v>23</v>
      </c>
    </row>
    <row r="324" spans="1:12" x14ac:dyDescent="0.3">
      <c r="A324" t="s">
        <v>368</v>
      </c>
      <c r="B324" s="1">
        <v>45899</v>
      </c>
      <c r="C324" t="s">
        <v>35</v>
      </c>
      <c r="D324" t="s">
        <v>36</v>
      </c>
      <c r="E324" t="s">
        <v>91</v>
      </c>
      <c r="F324">
        <v>5</v>
      </c>
      <c r="G324">
        <v>8500</v>
      </c>
      <c r="H324">
        <v>42500</v>
      </c>
      <c r="I324">
        <v>0</v>
      </c>
      <c r="J324">
        <v>17739.48</v>
      </c>
      <c r="K324" t="s">
        <v>22</v>
      </c>
      <c r="L324" t="s">
        <v>32</v>
      </c>
    </row>
    <row r="325" spans="1:12" x14ac:dyDescent="0.3">
      <c r="A325" t="s">
        <v>369</v>
      </c>
      <c r="B325" s="1">
        <v>45946</v>
      </c>
      <c r="C325" t="s">
        <v>13</v>
      </c>
      <c r="D325" t="s">
        <v>14</v>
      </c>
      <c r="E325" t="s">
        <v>51</v>
      </c>
      <c r="F325">
        <v>4</v>
      </c>
      <c r="G325">
        <v>2500</v>
      </c>
      <c r="H325">
        <v>8000</v>
      </c>
      <c r="I325">
        <v>0.2</v>
      </c>
      <c r="J325">
        <v>375.24</v>
      </c>
      <c r="K325" t="s">
        <v>16</v>
      </c>
      <c r="L325" t="s">
        <v>23</v>
      </c>
    </row>
    <row r="326" spans="1:12" x14ac:dyDescent="0.3">
      <c r="A326" t="s">
        <v>370</v>
      </c>
      <c r="B326" s="1">
        <v>45843</v>
      </c>
      <c r="C326" t="s">
        <v>28</v>
      </c>
      <c r="D326" t="s">
        <v>14</v>
      </c>
      <c r="E326" t="s">
        <v>51</v>
      </c>
      <c r="F326">
        <v>6</v>
      </c>
      <c r="G326">
        <v>2500</v>
      </c>
      <c r="H326">
        <v>15000</v>
      </c>
      <c r="I326">
        <v>0</v>
      </c>
      <c r="J326">
        <v>6536.39</v>
      </c>
      <c r="K326" t="s">
        <v>22</v>
      </c>
      <c r="L326" t="s">
        <v>17</v>
      </c>
    </row>
    <row r="327" spans="1:12" x14ac:dyDescent="0.3">
      <c r="A327" t="s">
        <v>371</v>
      </c>
      <c r="B327" s="1">
        <v>45940</v>
      </c>
      <c r="C327" t="s">
        <v>19</v>
      </c>
      <c r="D327" t="s">
        <v>14</v>
      </c>
      <c r="E327" t="s">
        <v>43</v>
      </c>
      <c r="F327">
        <v>2</v>
      </c>
      <c r="G327">
        <v>65000</v>
      </c>
      <c r="H327">
        <v>117000</v>
      </c>
      <c r="I327">
        <v>0.1</v>
      </c>
      <c r="J327">
        <v>27608.52</v>
      </c>
      <c r="K327" t="s">
        <v>26</v>
      </c>
      <c r="L327" t="s">
        <v>32</v>
      </c>
    </row>
    <row r="328" spans="1:12" x14ac:dyDescent="0.3">
      <c r="A328" t="s">
        <v>372</v>
      </c>
      <c r="B328" s="1">
        <v>45874</v>
      </c>
      <c r="C328" t="s">
        <v>56</v>
      </c>
      <c r="D328" t="s">
        <v>14</v>
      </c>
      <c r="E328" t="s">
        <v>25</v>
      </c>
      <c r="F328">
        <v>6</v>
      </c>
      <c r="G328">
        <v>3200</v>
      </c>
      <c r="H328">
        <v>17280</v>
      </c>
      <c r="I328">
        <v>0.1</v>
      </c>
      <c r="J328">
        <v>4329.88</v>
      </c>
      <c r="K328" t="s">
        <v>22</v>
      </c>
      <c r="L328" t="s">
        <v>32</v>
      </c>
    </row>
    <row r="329" spans="1:12" x14ac:dyDescent="0.3">
      <c r="A329" t="s">
        <v>373</v>
      </c>
      <c r="B329" s="1">
        <v>45836</v>
      </c>
      <c r="C329" t="s">
        <v>13</v>
      </c>
      <c r="D329" t="s">
        <v>14</v>
      </c>
      <c r="E329" t="s">
        <v>25</v>
      </c>
      <c r="F329">
        <v>2</v>
      </c>
      <c r="G329">
        <v>3200</v>
      </c>
      <c r="H329">
        <v>5760</v>
      </c>
      <c r="I329">
        <v>0.1</v>
      </c>
      <c r="J329">
        <v>1288.9100000000001</v>
      </c>
      <c r="K329" t="s">
        <v>16</v>
      </c>
      <c r="L329" t="s">
        <v>17</v>
      </c>
    </row>
    <row r="330" spans="1:12" x14ac:dyDescent="0.3">
      <c r="A330" t="s">
        <v>374</v>
      </c>
      <c r="B330" s="1">
        <v>45754</v>
      </c>
      <c r="C330" t="s">
        <v>19</v>
      </c>
      <c r="D330" t="s">
        <v>30</v>
      </c>
      <c r="E330" t="s">
        <v>31</v>
      </c>
      <c r="F330">
        <v>10</v>
      </c>
      <c r="G330">
        <v>120</v>
      </c>
      <c r="H330">
        <v>1140</v>
      </c>
      <c r="I330">
        <v>0.05</v>
      </c>
      <c r="J330">
        <v>321.73</v>
      </c>
      <c r="K330" t="s">
        <v>22</v>
      </c>
      <c r="L330" t="s">
        <v>17</v>
      </c>
    </row>
    <row r="331" spans="1:12" x14ac:dyDescent="0.3">
      <c r="A331" t="s">
        <v>375</v>
      </c>
      <c r="B331" s="1">
        <v>45977</v>
      </c>
      <c r="C331" t="s">
        <v>56</v>
      </c>
      <c r="D331" t="s">
        <v>36</v>
      </c>
      <c r="E331" t="s">
        <v>54</v>
      </c>
      <c r="F331">
        <v>4</v>
      </c>
      <c r="G331">
        <v>7000</v>
      </c>
      <c r="H331">
        <v>22400</v>
      </c>
      <c r="I331">
        <v>0.2</v>
      </c>
      <c r="J331">
        <v>-503.22</v>
      </c>
      <c r="K331" t="s">
        <v>16</v>
      </c>
      <c r="L331" t="s">
        <v>32</v>
      </c>
    </row>
    <row r="332" spans="1:12" x14ac:dyDescent="0.3">
      <c r="A332" t="s">
        <v>376</v>
      </c>
      <c r="B332" s="1">
        <v>45792</v>
      </c>
      <c r="C332" t="s">
        <v>13</v>
      </c>
      <c r="D332" t="s">
        <v>14</v>
      </c>
      <c r="E332" t="s">
        <v>65</v>
      </c>
      <c r="F332">
        <v>1</v>
      </c>
      <c r="G332">
        <v>700</v>
      </c>
      <c r="H332">
        <v>700</v>
      </c>
      <c r="I332">
        <v>0</v>
      </c>
      <c r="J332">
        <v>0</v>
      </c>
      <c r="K332" t="s">
        <v>16</v>
      </c>
      <c r="L332" t="s">
        <v>17</v>
      </c>
    </row>
    <row r="333" spans="1:12" x14ac:dyDescent="0.3">
      <c r="A333" t="s">
        <v>377</v>
      </c>
      <c r="B333" s="1">
        <v>45960</v>
      </c>
      <c r="C333" t="s">
        <v>56</v>
      </c>
      <c r="D333" t="s">
        <v>36</v>
      </c>
      <c r="E333" t="s">
        <v>91</v>
      </c>
      <c r="F333">
        <v>5</v>
      </c>
      <c r="G333">
        <v>8500</v>
      </c>
      <c r="H333">
        <v>42500</v>
      </c>
      <c r="I333">
        <v>0</v>
      </c>
      <c r="J333">
        <v>10329.43</v>
      </c>
      <c r="K333" t="s">
        <v>16</v>
      </c>
      <c r="L333" t="s">
        <v>32</v>
      </c>
    </row>
    <row r="334" spans="1:12" x14ac:dyDescent="0.3">
      <c r="A334" t="s">
        <v>378</v>
      </c>
      <c r="B334" s="1">
        <v>45957</v>
      </c>
      <c r="C334" t="s">
        <v>35</v>
      </c>
      <c r="D334" t="s">
        <v>30</v>
      </c>
      <c r="E334" t="s">
        <v>82</v>
      </c>
      <c r="F334">
        <v>6</v>
      </c>
      <c r="G334">
        <v>250</v>
      </c>
      <c r="H334">
        <v>1200</v>
      </c>
      <c r="I334">
        <v>0.2</v>
      </c>
      <c r="J334">
        <v>362.02</v>
      </c>
      <c r="K334" t="s">
        <v>26</v>
      </c>
      <c r="L334" t="s">
        <v>32</v>
      </c>
    </row>
    <row r="335" spans="1:12" x14ac:dyDescent="0.3">
      <c r="A335" t="s">
        <v>379</v>
      </c>
      <c r="B335" s="1">
        <v>45737</v>
      </c>
      <c r="C335" t="s">
        <v>56</v>
      </c>
      <c r="D335" t="s">
        <v>14</v>
      </c>
      <c r="E335" t="s">
        <v>43</v>
      </c>
      <c r="F335">
        <v>4</v>
      </c>
      <c r="G335">
        <v>65000</v>
      </c>
      <c r="H335">
        <v>208000</v>
      </c>
      <c r="I335">
        <v>0.2</v>
      </c>
      <c r="J335">
        <v>44325.25</v>
      </c>
      <c r="K335" t="s">
        <v>22</v>
      </c>
      <c r="L335" t="s">
        <v>23</v>
      </c>
    </row>
    <row r="336" spans="1:12" x14ac:dyDescent="0.3">
      <c r="A336" t="s">
        <v>380</v>
      </c>
      <c r="B336" s="1">
        <v>45954</v>
      </c>
      <c r="C336" t="s">
        <v>35</v>
      </c>
      <c r="D336" t="s">
        <v>14</v>
      </c>
      <c r="E336" t="s">
        <v>65</v>
      </c>
      <c r="F336">
        <v>7</v>
      </c>
      <c r="G336">
        <v>700</v>
      </c>
      <c r="H336">
        <v>4655</v>
      </c>
      <c r="I336">
        <v>0.05</v>
      </c>
      <c r="J336">
        <v>1828.53</v>
      </c>
      <c r="K336" t="s">
        <v>26</v>
      </c>
      <c r="L336" t="s">
        <v>32</v>
      </c>
    </row>
    <row r="337" spans="1:12" x14ac:dyDescent="0.3">
      <c r="A337" t="s">
        <v>381</v>
      </c>
      <c r="B337" s="1">
        <v>46006</v>
      </c>
      <c r="C337" t="s">
        <v>56</v>
      </c>
      <c r="D337" t="s">
        <v>30</v>
      </c>
      <c r="E337" t="s">
        <v>82</v>
      </c>
      <c r="F337">
        <v>4</v>
      </c>
      <c r="G337">
        <v>250</v>
      </c>
      <c r="H337">
        <v>900</v>
      </c>
      <c r="I337">
        <v>0.1</v>
      </c>
      <c r="J337">
        <v>261.04000000000002</v>
      </c>
      <c r="K337" t="s">
        <v>22</v>
      </c>
      <c r="L337" t="s">
        <v>32</v>
      </c>
    </row>
    <row r="338" spans="1:12" x14ac:dyDescent="0.3">
      <c r="A338" t="s">
        <v>382</v>
      </c>
      <c r="B338" s="1">
        <v>45913</v>
      </c>
      <c r="C338" t="s">
        <v>56</v>
      </c>
      <c r="D338" t="s">
        <v>14</v>
      </c>
      <c r="E338" t="s">
        <v>43</v>
      </c>
      <c r="F338">
        <v>9</v>
      </c>
      <c r="G338">
        <v>65000</v>
      </c>
      <c r="H338">
        <v>526500</v>
      </c>
      <c r="I338">
        <v>0.1</v>
      </c>
      <c r="J338">
        <v>153655.04000000001</v>
      </c>
      <c r="K338" t="s">
        <v>16</v>
      </c>
      <c r="L338" t="s">
        <v>32</v>
      </c>
    </row>
    <row r="339" spans="1:12" x14ac:dyDescent="0.3">
      <c r="A339" t="s">
        <v>383</v>
      </c>
      <c r="B339" s="1">
        <v>45708</v>
      </c>
      <c r="C339" t="s">
        <v>56</v>
      </c>
      <c r="D339" t="s">
        <v>14</v>
      </c>
      <c r="E339" t="s">
        <v>15</v>
      </c>
      <c r="F339">
        <v>4</v>
      </c>
      <c r="G339">
        <v>1200</v>
      </c>
      <c r="H339">
        <v>4320</v>
      </c>
      <c r="I339">
        <v>0.1</v>
      </c>
      <c r="J339">
        <v>896.09</v>
      </c>
      <c r="K339" t="s">
        <v>22</v>
      </c>
      <c r="L339" t="s">
        <v>23</v>
      </c>
    </row>
    <row r="340" spans="1:12" x14ac:dyDescent="0.3">
      <c r="A340" t="s">
        <v>384</v>
      </c>
      <c r="B340" s="1">
        <v>45821</v>
      </c>
      <c r="C340" t="s">
        <v>13</v>
      </c>
      <c r="D340" t="s">
        <v>36</v>
      </c>
      <c r="E340" t="s">
        <v>37</v>
      </c>
      <c r="F340">
        <v>2</v>
      </c>
      <c r="G340">
        <v>1800</v>
      </c>
      <c r="H340">
        <v>3240</v>
      </c>
      <c r="I340">
        <v>0.1</v>
      </c>
      <c r="J340">
        <v>1096.07</v>
      </c>
      <c r="K340" t="s">
        <v>16</v>
      </c>
      <c r="L340" t="s">
        <v>23</v>
      </c>
    </row>
    <row r="341" spans="1:12" x14ac:dyDescent="0.3">
      <c r="A341" t="s">
        <v>385</v>
      </c>
      <c r="B341" s="1">
        <v>45703</v>
      </c>
      <c r="C341" t="s">
        <v>28</v>
      </c>
      <c r="D341" t="s">
        <v>14</v>
      </c>
      <c r="E341" t="s">
        <v>15</v>
      </c>
      <c r="F341">
        <v>6</v>
      </c>
      <c r="G341">
        <v>1200</v>
      </c>
      <c r="H341">
        <v>7200</v>
      </c>
      <c r="I341">
        <v>0</v>
      </c>
      <c r="J341">
        <v>2134.9899999999998</v>
      </c>
      <c r="K341" t="s">
        <v>22</v>
      </c>
      <c r="L341" t="s">
        <v>32</v>
      </c>
    </row>
    <row r="342" spans="1:12" x14ac:dyDescent="0.3">
      <c r="A342" t="s">
        <v>386</v>
      </c>
      <c r="B342" s="1">
        <v>45981</v>
      </c>
      <c r="C342" t="s">
        <v>13</v>
      </c>
      <c r="D342" t="s">
        <v>14</v>
      </c>
      <c r="E342" t="s">
        <v>43</v>
      </c>
      <c r="F342">
        <v>3</v>
      </c>
      <c r="G342">
        <v>65000</v>
      </c>
      <c r="H342">
        <v>175500</v>
      </c>
      <c r="I342">
        <v>0.1</v>
      </c>
      <c r="J342">
        <v>54150.45</v>
      </c>
      <c r="K342" t="s">
        <v>22</v>
      </c>
      <c r="L342" t="s">
        <v>17</v>
      </c>
    </row>
    <row r="343" spans="1:12" x14ac:dyDescent="0.3">
      <c r="A343" t="s">
        <v>387</v>
      </c>
      <c r="B343" s="1">
        <v>45859</v>
      </c>
      <c r="C343" t="s">
        <v>56</v>
      </c>
      <c r="D343" t="s">
        <v>20</v>
      </c>
      <c r="E343" t="s">
        <v>97</v>
      </c>
      <c r="F343">
        <v>4</v>
      </c>
      <c r="G343">
        <v>400</v>
      </c>
      <c r="H343">
        <v>1440</v>
      </c>
      <c r="I343">
        <v>0.1</v>
      </c>
      <c r="J343">
        <v>544.26</v>
      </c>
      <c r="K343" t="s">
        <v>22</v>
      </c>
      <c r="L343" t="s">
        <v>32</v>
      </c>
    </row>
    <row r="344" spans="1:12" x14ac:dyDescent="0.3">
      <c r="A344" t="s">
        <v>388</v>
      </c>
      <c r="B344" s="1">
        <v>45871</v>
      </c>
      <c r="C344" t="s">
        <v>35</v>
      </c>
      <c r="D344" t="s">
        <v>30</v>
      </c>
      <c r="E344" t="s">
        <v>41</v>
      </c>
      <c r="F344">
        <v>7</v>
      </c>
      <c r="G344">
        <v>600</v>
      </c>
      <c r="H344">
        <v>3360</v>
      </c>
      <c r="I344">
        <v>0.2</v>
      </c>
      <c r="J344">
        <v>645.39</v>
      </c>
      <c r="K344" t="s">
        <v>16</v>
      </c>
      <c r="L344" t="s">
        <v>17</v>
      </c>
    </row>
    <row r="345" spans="1:12" x14ac:dyDescent="0.3">
      <c r="A345" t="s">
        <v>389</v>
      </c>
      <c r="B345" s="1">
        <v>45723</v>
      </c>
      <c r="C345" t="s">
        <v>56</v>
      </c>
      <c r="D345" t="s">
        <v>30</v>
      </c>
      <c r="E345" t="s">
        <v>31</v>
      </c>
      <c r="F345">
        <v>8</v>
      </c>
      <c r="G345">
        <v>120</v>
      </c>
      <c r="H345">
        <v>816</v>
      </c>
      <c r="I345">
        <v>0.15</v>
      </c>
      <c r="J345">
        <v>216.84</v>
      </c>
      <c r="K345" t="s">
        <v>16</v>
      </c>
      <c r="L345" t="s">
        <v>32</v>
      </c>
    </row>
    <row r="346" spans="1:12" x14ac:dyDescent="0.3">
      <c r="A346" t="s">
        <v>390</v>
      </c>
      <c r="B346" s="1">
        <v>45823</v>
      </c>
      <c r="C346" t="s">
        <v>19</v>
      </c>
      <c r="D346" t="s">
        <v>20</v>
      </c>
      <c r="E346" t="s">
        <v>21</v>
      </c>
      <c r="F346">
        <v>3</v>
      </c>
      <c r="G346">
        <v>650</v>
      </c>
      <c r="H346">
        <v>1560</v>
      </c>
      <c r="I346">
        <v>0.2</v>
      </c>
      <c r="J346">
        <v>49.16</v>
      </c>
      <c r="K346" t="s">
        <v>16</v>
      </c>
      <c r="L346" t="s">
        <v>32</v>
      </c>
    </row>
    <row r="347" spans="1:12" x14ac:dyDescent="0.3">
      <c r="A347" t="s">
        <v>391</v>
      </c>
      <c r="B347" s="1">
        <v>45846</v>
      </c>
      <c r="C347" t="s">
        <v>19</v>
      </c>
      <c r="D347" t="s">
        <v>14</v>
      </c>
      <c r="E347" t="s">
        <v>43</v>
      </c>
      <c r="F347">
        <v>9</v>
      </c>
      <c r="G347">
        <v>65000</v>
      </c>
      <c r="H347">
        <v>585000</v>
      </c>
      <c r="I347">
        <v>0</v>
      </c>
      <c r="J347">
        <v>257376.24</v>
      </c>
      <c r="K347" t="s">
        <v>16</v>
      </c>
      <c r="L347" t="s">
        <v>32</v>
      </c>
    </row>
    <row r="348" spans="1:12" x14ac:dyDescent="0.3">
      <c r="A348" t="s">
        <v>392</v>
      </c>
      <c r="B348" s="1">
        <v>45758</v>
      </c>
      <c r="C348" t="s">
        <v>13</v>
      </c>
      <c r="D348" t="s">
        <v>30</v>
      </c>
      <c r="E348" t="s">
        <v>82</v>
      </c>
      <c r="F348">
        <v>10</v>
      </c>
      <c r="G348">
        <v>250</v>
      </c>
      <c r="H348">
        <v>2250</v>
      </c>
      <c r="I348">
        <v>0.1</v>
      </c>
      <c r="J348">
        <v>-77.97</v>
      </c>
      <c r="K348" t="s">
        <v>26</v>
      </c>
      <c r="L348" t="s">
        <v>23</v>
      </c>
    </row>
    <row r="349" spans="1:12" x14ac:dyDescent="0.3">
      <c r="A349" t="s">
        <v>393</v>
      </c>
      <c r="B349" s="1">
        <v>45832</v>
      </c>
      <c r="C349" t="s">
        <v>13</v>
      </c>
      <c r="D349" t="s">
        <v>14</v>
      </c>
      <c r="E349" t="s">
        <v>15</v>
      </c>
      <c r="F349">
        <v>2</v>
      </c>
      <c r="G349">
        <v>1200</v>
      </c>
      <c r="H349">
        <v>2280</v>
      </c>
      <c r="I349">
        <v>0.05</v>
      </c>
      <c r="J349">
        <v>483.11</v>
      </c>
      <c r="K349" t="s">
        <v>26</v>
      </c>
      <c r="L349" t="s">
        <v>23</v>
      </c>
    </row>
    <row r="350" spans="1:12" x14ac:dyDescent="0.3">
      <c r="A350" t="s">
        <v>394</v>
      </c>
      <c r="B350" s="1">
        <v>45899</v>
      </c>
      <c r="C350" t="s">
        <v>19</v>
      </c>
      <c r="D350" t="s">
        <v>14</v>
      </c>
      <c r="E350" t="s">
        <v>43</v>
      </c>
      <c r="F350">
        <v>4</v>
      </c>
      <c r="G350">
        <v>65000</v>
      </c>
      <c r="H350">
        <v>208000</v>
      </c>
      <c r="I350">
        <v>0.2</v>
      </c>
      <c r="J350">
        <v>45876.43</v>
      </c>
      <c r="K350" t="s">
        <v>22</v>
      </c>
      <c r="L350" t="s">
        <v>32</v>
      </c>
    </row>
    <row r="351" spans="1:12" x14ac:dyDescent="0.3">
      <c r="A351" t="s">
        <v>395</v>
      </c>
      <c r="B351" s="1">
        <v>45979</v>
      </c>
      <c r="C351" t="s">
        <v>13</v>
      </c>
      <c r="D351" t="s">
        <v>36</v>
      </c>
      <c r="E351" t="s">
        <v>91</v>
      </c>
      <c r="F351">
        <v>9</v>
      </c>
      <c r="G351">
        <v>8500</v>
      </c>
      <c r="H351">
        <v>61200</v>
      </c>
      <c r="I351">
        <v>0.2</v>
      </c>
      <c r="J351">
        <v>12099.62</v>
      </c>
      <c r="K351" t="s">
        <v>22</v>
      </c>
      <c r="L351" t="s">
        <v>32</v>
      </c>
    </row>
    <row r="352" spans="1:12" x14ac:dyDescent="0.3">
      <c r="A352" t="s">
        <v>396</v>
      </c>
      <c r="B352" s="1">
        <v>46001</v>
      </c>
      <c r="C352" t="s">
        <v>35</v>
      </c>
      <c r="D352" t="s">
        <v>20</v>
      </c>
      <c r="E352" t="s">
        <v>39</v>
      </c>
      <c r="F352">
        <v>5</v>
      </c>
      <c r="G352">
        <v>2800</v>
      </c>
      <c r="H352">
        <v>13300</v>
      </c>
      <c r="I352">
        <v>0.05</v>
      </c>
      <c r="J352">
        <v>4501.05</v>
      </c>
      <c r="K352" t="s">
        <v>16</v>
      </c>
      <c r="L352" t="s">
        <v>23</v>
      </c>
    </row>
    <row r="353" spans="1:12" x14ac:dyDescent="0.3">
      <c r="A353" t="s">
        <v>397</v>
      </c>
      <c r="B353" s="1">
        <v>45989</v>
      </c>
      <c r="C353" t="s">
        <v>56</v>
      </c>
      <c r="D353" t="s">
        <v>20</v>
      </c>
      <c r="E353" t="s">
        <v>39</v>
      </c>
      <c r="F353">
        <v>2</v>
      </c>
      <c r="G353">
        <v>2800</v>
      </c>
      <c r="H353">
        <v>5600</v>
      </c>
      <c r="I353">
        <v>0</v>
      </c>
      <c r="J353">
        <v>2440.73</v>
      </c>
      <c r="K353" t="s">
        <v>26</v>
      </c>
      <c r="L353" t="s">
        <v>23</v>
      </c>
    </row>
    <row r="354" spans="1:12" x14ac:dyDescent="0.3">
      <c r="A354" t="s">
        <v>398</v>
      </c>
      <c r="B354" s="1">
        <v>45703</v>
      </c>
      <c r="C354" t="s">
        <v>35</v>
      </c>
      <c r="D354" t="s">
        <v>20</v>
      </c>
      <c r="E354" t="s">
        <v>97</v>
      </c>
      <c r="F354">
        <v>1</v>
      </c>
      <c r="G354">
        <v>400</v>
      </c>
      <c r="H354">
        <v>380</v>
      </c>
      <c r="I354">
        <v>0.05</v>
      </c>
      <c r="J354">
        <v>83.55</v>
      </c>
      <c r="K354" t="s">
        <v>22</v>
      </c>
      <c r="L354" t="s">
        <v>32</v>
      </c>
    </row>
    <row r="355" spans="1:12" x14ac:dyDescent="0.3">
      <c r="A355" t="s">
        <v>399</v>
      </c>
      <c r="B355" s="1">
        <v>45757</v>
      </c>
      <c r="C355" t="s">
        <v>13</v>
      </c>
      <c r="D355" t="s">
        <v>36</v>
      </c>
      <c r="E355" t="s">
        <v>37</v>
      </c>
      <c r="F355">
        <v>10</v>
      </c>
      <c r="G355">
        <v>1800</v>
      </c>
      <c r="H355">
        <v>14400</v>
      </c>
      <c r="I355">
        <v>0.2</v>
      </c>
      <c r="J355">
        <v>1582.86</v>
      </c>
      <c r="K355" t="s">
        <v>26</v>
      </c>
      <c r="L355" t="s">
        <v>23</v>
      </c>
    </row>
    <row r="356" spans="1:12" x14ac:dyDescent="0.3">
      <c r="A356" t="s">
        <v>400</v>
      </c>
      <c r="B356" s="1">
        <v>45768</v>
      </c>
      <c r="C356" t="s">
        <v>19</v>
      </c>
      <c r="D356" t="s">
        <v>36</v>
      </c>
      <c r="E356" t="s">
        <v>37</v>
      </c>
      <c r="F356">
        <v>8</v>
      </c>
      <c r="G356">
        <v>12000</v>
      </c>
      <c r="H356">
        <v>86400</v>
      </c>
      <c r="I356">
        <v>0.1</v>
      </c>
      <c r="J356">
        <v>20126.189999999999</v>
      </c>
      <c r="K356" t="s">
        <v>22</v>
      </c>
      <c r="L356" t="s">
        <v>23</v>
      </c>
    </row>
    <row r="357" spans="1:12" x14ac:dyDescent="0.3">
      <c r="A357" t="s">
        <v>401</v>
      </c>
      <c r="B357" s="1">
        <v>45787</v>
      </c>
      <c r="C357" t="s">
        <v>13</v>
      </c>
      <c r="D357" t="s">
        <v>30</v>
      </c>
      <c r="E357" t="s">
        <v>47</v>
      </c>
      <c r="F357">
        <v>7</v>
      </c>
      <c r="G357">
        <v>450</v>
      </c>
      <c r="H357">
        <v>3150</v>
      </c>
      <c r="I357">
        <v>0</v>
      </c>
      <c r="J357">
        <v>762.71</v>
      </c>
      <c r="K357" t="s">
        <v>26</v>
      </c>
      <c r="L357" t="s">
        <v>17</v>
      </c>
    </row>
    <row r="358" spans="1:12" x14ac:dyDescent="0.3">
      <c r="A358" t="s">
        <v>402</v>
      </c>
      <c r="B358" s="1">
        <v>46016</v>
      </c>
      <c r="C358" t="s">
        <v>13</v>
      </c>
      <c r="D358" t="s">
        <v>14</v>
      </c>
      <c r="E358" t="s">
        <v>105</v>
      </c>
      <c r="F358">
        <v>4</v>
      </c>
      <c r="G358">
        <v>14000</v>
      </c>
      <c r="H358">
        <v>50400</v>
      </c>
      <c r="I358">
        <v>0.1</v>
      </c>
      <c r="J358">
        <v>6295.76</v>
      </c>
      <c r="K358" t="s">
        <v>26</v>
      </c>
      <c r="L358" t="s">
        <v>17</v>
      </c>
    </row>
    <row r="359" spans="1:12" x14ac:dyDescent="0.3">
      <c r="A359" t="s">
        <v>403</v>
      </c>
      <c r="B359" s="1">
        <v>45697</v>
      </c>
      <c r="C359" t="s">
        <v>56</v>
      </c>
      <c r="D359" t="s">
        <v>14</v>
      </c>
      <c r="E359" t="s">
        <v>105</v>
      </c>
      <c r="F359">
        <v>2</v>
      </c>
      <c r="G359">
        <v>14000</v>
      </c>
      <c r="H359">
        <v>25200</v>
      </c>
      <c r="I359">
        <v>0.1</v>
      </c>
      <c r="J359">
        <v>5741.66</v>
      </c>
      <c r="K359" t="s">
        <v>26</v>
      </c>
      <c r="L359" t="s">
        <v>32</v>
      </c>
    </row>
    <row r="360" spans="1:12" x14ac:dyDescent="0.3">
      <c r="A360" t="s">
        <v>404</v>
      </c>
      <c r="B360" s="1">
        <v>45974</v>
      </c>
      <c r="C360" t="s">
        <v>28</v>
      </c>
      <c r="D360" t="s">
        <v>36</v>
      </c>
      <c r="E360" t="s">
        <v>54</v>
      </c>
      <c r="F360">
        <v>4</v>
      </c>
      <c r="G360">
        <v>7000</v>
      </c>
      <c r="H360">
        <v>23800</v>
      </c>
      <c r="I360">
        <v>0.15</v>
      </c>
      <c r="J360">
        <v>5884.6</v>
      </c>
      <c r="K360" t="s">
        <v>16</v>
      </c>
      <c r="L360" t="s">
        <v>32</v>
      </c>
    </row>
    <row r="361" spans="1:12" x14ac:dyDescent="0.3">
      <c r="A361" t="s">
        <v>405</v>
      </c>
      <c r="B361" s="1">
        <v>45709</v>
      </c>
      <c r="C361" t="s">
        <v>56</v>
      </c>
      <c r="D361" t="s">
        <v>36</v>
      </c>
      <c r="E361" t="s">
        <v>37</v>
      </c>
      <c r="F361">
        <v>10</v>
      </c>
      <c r="G361">
        <v>1800</v>
      </c>
      <c r="H361">
        <v>18000</v>
      </c>
      <c r="I361">
        <v>0</v>
      </c>
      <c r="J361">
        <v>7596.49</v>
      </c>
      <c r="K361" t="s">
        <v>26</v>
      </c>
      <c r="L361" t="s">
        <v>17</v>
      </c>
    </row>
    <row r="362" spans="1:12" x14ac:dyDescent="0.3">
      <c r="A362" t="s">
        <v>406</v>
      </c>
      <c r="B362" s="1">
        <v>45730</v>
      </c>
      <c r="C362" t="s">
        <v>56</v>
      </c>
      <c r="D362" t="s">
        <v>14</v>
      </c>
      <c r="E362" t="s">
        <v>25</v>
      </c>
      <c r="F362">
        <v>3</v>
      </c>
      <c r="G362">
        <v>3200</v>
      </c>
      <c r="H362">
        <v>8640</v>
      </c>
      <c r="I362">
        <v>0.1</v>
      </c>
      <c r="J362">
        <v>2100.9299999999998</v>
      </c>
      <c r="K362" t="s">
        <v>26</v>
      </c>
      <c r="L362" t="s">
        <v>32</v>
      </c>
    </row>
    <row r="363" spans="1:12" x14ac:dyDescent="0.3">
      <c r="A363" t="s">
        <v>407</v>
      </c>
      <c r="B363" s="1">
        <v>45769</v>
      </c>
      <c r="C363" t="s">
        <v>13</v>
      </c>
      <c r="D363" t="s">
        <v>14</v>
      </c>
      <c r="E363" t="s">
        <v>15</v>
      </c>
      <c r="F363">
        <v>5</v>
      </c>
      <c r="G363">
        <v>1200</v>
      </c>
      <c r="H363">
        <v>4800</v>
      </c>
      <c r="I363">
        <v>0.2</v>
      </c>
      <c r="J363">
        <v>819.43</v>
      </c>
      <c r="K363" t="s">
        <v>16</v>
      </c>
      <c r="L363" t="s">
        <v>17</v>
      </c>
    </row>
    <row r="364" spans="1:12" x14ac:dyDescent="0.3">
      <c r="A364" t="s">
        <v>408</v>
      </c>
      <c r="B364" s="1">
        <v>45872</v>
      </c>
      <c r="C364" t="s">
        <v>28</v>
      </c>
      <c r="D364" t="s">
        <v>30</v>
      </c>
      <c r="E364" t="s">
        <v>41</v>
      </c>
      <c r="F364">
        <v>7</v>
      </c>
      <c r="G364">
        <v>600</v>
      </c>
      <c r="H364">
        <v>3990</v>
      </c>
      <c r="I364">
        <v>0.05</v>
      </c>
      <c r="J364">
        <v>572.1</v>
      </c>
      <c r="K364" t="s">
        <v>22</v>
      </c>
      <c r="L364" t="s">
        <v>23</v>
      </c>
    </row>
    <row r="365" spans="1:12" x14ac:dyDescent="0.3">
      <c r="A365" t="s">
        <v>409</v>
      </c>
      <c r="B365" s="1">
        <v>45871</v>
      </c>
      <c r="C365" t="s">
        <v>19</v>
      </c>
      <c r="D365" t="s">
        <v>30</v>
      </c>
      <c r="E365" t="s">
        <v>47</v>
      </c>
      <c r="F365">
        <v>9</v>
      </c>
      <c r="G365">
        <v>450</v>
      </c>
      <c r="H365">
        <v>3442.5</v>
      </c>
      <c r="I365">
        <v>0.15</v>
      </c>
      <c r="J365">
        <v>861.4</v>
      </c>
      <c r="K365" t="s">
        <v>16</v>
      </c>
      <c r="L365" t="s">
        <v>32</v>
      </c>
    </row>
    <row r="366" spans="1:12" x14ac:dyDescent="0.3">
      <c r="A366" t="s">
        <v>410</v>
      </c>
      <c r="B366" s="1">
        <v>45751</v>
      </c>
      <c r="C366" t="s">
        <v>19</v>
      </c>
      <c r="D366" t="s">
        <v>36</v>
      </c>
      <c r="E366" t="s">
        <v>37</v>
      </c>
      <c r="F366">
        <v>9</v>
      </c>
      <c r="G366">
        <v>12000</v>
      </c>
      <c r="H366">
        <v>97200</v>
      </c>
      <c r="I366">
        <v>0.1</v>
      </c>
      <c r="J366">
        <v>34887.800000000003</v>
      </c>
      <c r="K366" t="s">
        <v>16</v>
      </c>
      <c r="L366" t="s">
        <v>17</v>
      </c>
    </row>
    <row r="367" spans="1:12" x14ac:dyDescent="0.3">
      <c r="A367" t="s">
        <v>411</v>
      </c>
      <c r="B367" s="1">
        <v>45663</v>
      </c>
      <c r="C367" t="s">
        <v>35</v>
      </c>
      <c r="D367" t="s">
        <v>20</v>
      </c>
      <c r="E367" t="s">
        <v>21</v>
      </c>
      <c r="F367">
        <v>5</v>
      </c>
      <c r="G367">
        <v>650</v>
      </c>
      <c r="H367">
        <v>2600</v>
      </c>
      <c r="I367">
        <v>0.2</v>
      </c>
      <c r="J367">
        <v>292.81</v>
      </c>
      <c r="K367" t="s">
        <v>22</v>
      </c>
      <c r="L367" t="s">
        <v>32</v>
      </c>
    </row>
    <row r="368" spans="1:12" x14ac:dyDescent="0.3">
      <c r="A368" t="s">
        <v>412</v>
      </c>
      <c r="B368" s="1">
        <v>45937</v>
      </c>
      <c r="C368" t="s">
        <v>35</v>
      </c>
      <c r="D368" t="s">
        <v>30</v>
      </c>
      <c r="E368" t="s">
        <v>82</v>
      </c>
      <c r="F368">
        <v>5</v>
      </c>
      <c r="G368">
        <v>250</v>
      </c>
      <c r="H368">
        <v>1062.5</v>
      </c>
      <c r="I368">
        <v>0.15</v>
      </c>
      <c r="J368">
        <v>110.3</v>
      </c>
      <c r="K368" t="s">
        <v>22</v>
      </c>
      <c r="L368" t="s">
        <v>23</v>
      </c>
    </row>
    <row r="369" spans="1:12" x14ac:dyDescent="0.3">
      <c r="A369" t="s">
        <v>413</v>
      </c>
      <c r="B369" s="1">
        <v>45987</v>
      </c>
      <c r="C369" t="s">
        <v>19</v>
      </c>
      <c r="D369" t="s">
        <v>20</v>
      </c>
      <c r="E369" t="s">
        <v>84</v>
      </c>
      <c r="F369">
        <v>1</v>
      </c>
      <c r="G369">
        <v>3200</v>
      </c>
      <c r="H369">
        <v>2880</v>
      </c>
      <c r="I369">
        <v>0.1</v>
      </c>
      <c r="J369">
        <v>851.31</v>
      </c>
      <c r="K369" t="s">
        <v>16</v>
      </c>
      <c r="L369" t="s">
        <v>23</v>
      </c>
    </row>
    <row r="370" spans="1:12" x14ac:dyDescent="0.3">
      <c r="A370" t="s">
        <v>414</v>
      </c>
      <c r="B370" s="1">
        <v>45720</v>
      </c>
      <c r="C370" t="s">
        <v>13</v>
      </c>
      <c r="D370" t="s">
        <v>30</v>
      </c>
      <c r="E370" t="s">
        <v>41</v>
      </c>
      <c r="F370">
        <v>6</v>
      </c>
      <c r="G370">
        <v>600</v>
      </c>
      <c r="H370">
        <v>3600</v>
      </c>
      <c r="I370">
        <v>0</v>
      </c>
      <c r="J370">
        <v>1240.5999999999999</v>
      </c>
      <c r="K370" t="s">
        <v>16</v>
      </c>
      <c r="L370" t="s">
        <v>17</v>
      </c>
    </row>
    <row r="371" spans="1:12" x14ac:dyDescent="0.3">
      <c r="A371" t="s">
        <v>415</v>
      </c>
      <c r="B371" s="1">
        <v>45902</v>
      </c>
      <c r="C371" t="s">
        <v>90</v>
      </c>
      <c r="D371" t="s">
        <v>14</v>
      </c>
      <c r="E371" t="s">
        <v>105</v>
      </c>
      <c r="F371">
        <v>1</v>
      </c>
      <c r="G371">
        <v>14000</v>
      </c>
      <c r="H371">
        <v>12600</v>
      </c>
      <c r="I371">
        <v>0.1</v>
      </c>
      <c r="J371">
        <v>2399.41</v>
      </c>
      <c r="K371" t="s">
        <v>22</v>
      </c>
      <c r="L371" t="s">
        <v>32</v>
      </c>
    </row>
    <row r="372" spans="1:12" x14ac:dyDescent="0.3">
      <c r="A372" t="s">
        <v>416</v>
      </c>
      <c r="B372" s="1">
        <v>45720</v>
      </c>
      <c r="C372" t="s">
        <v>19</v>
      </c>
      <c r="D372" t="s">
        <v>14</v>
      </c>
      <c r="E372" t="s">
        <v>15</v>
      </c>
      <c r="F372">
        <v>3</v>
      </c>
      <c r="G372">
        <v>1200</v>
      </c>
      <c r="H372">
        <v>3420</v>
      </c>
      <c r="I372">
        <v>0.05</v>
      </c>
      <c r="J372">
        <v>-262.07</v>
      </c>
      <c r="K372" t="s">
        <v>16</v>
      </c>
      <c r="L372" t="s">
        <v>32</v>
      </c>
    </row>
    <row r="373" spans="1:12" x14ac:dyDescent="0.3">
      <c r="A373" t="s">
        <v>417</v>
      </c>
      <c r="B373" s="1">
        <v>45945</v>
      </c>
      <c r="C373" t="s">
        <v>56</v>
      </c>
      <c r="D373" t="s">
        <v>36</v>
      </c>
      <c r="E373" t="s">
        <v>91</v>
      </c>
      <c r="F373">
        <v>10</v>
      </c>
      <c r="G373">
        <v>8500</v>
      </c>
      <c r="H373">
        <v>85000</v>
      </c>
      <c r="I373">
        <v>0</v>
      </c>
      <c r="J373">
        <v>17747.169999999998</v>
      </c>
      <c r="K373" t="s">
        <v>26</v>
      </c>
      <c r="L373" t="s">
        <v>32</v>
      </c>
    </row>
    <row r="374" spans="1:12" x14ac:dyDescent="0.3">
      <c r="A374" t="s">
        <v>418</v>
      </c>
      <c r="B374" s="1">
        <v>45929</v>
      </c>
      <c r="C374" t="s">
        <v>35</v>
      </c>
      <c r="D374" t="s">
        <v>30</v>
      </c>
      <c r="E374" t="s">
        <v>45</v>
      </c>
      <c r="F374">
        <v>5</v>
      </c>
      <c r="G374">
        <v>180</v>
      </c>
      <c r="H374">
        <v>855</v>
      </c>
      <c r="I374">
        <v>0.05</v>
      </c>
      <c r="J374">
        <v>290.93</v>
      </c>
      <c r="K374" t="s">
        <v>22</v>
      </c>
      <c r="L374" t="s">
        <v>23</v>
      </c>
    </row>
    <row r="375" spans="1:12" x14ac:dyDescent="0.3">
      <c r="A375" t="s">
        <v>419</v>
      </c>
      <c r="B375" s="1">
        <v>45918</v>
      </c>
      <c r="C375" t="s">
        <v>28</v>
      </c>
      <c r="D375" t="s">
        <v>14</v>
      </c>
      <c r="E375" t="s">
        <v>51</v>
      </c>
      <c r="F375">
        <v>7</v>
      </c>
      <c r="G375">
        <v>2500</v>
      </c>
      <c r="H375">
        <v>16625</v>
      </c>
      <c r="I375">
        <v>0.05</v>
      </c>
      <c r="J375">
        <v>5121.3999999999996</v>
      </c>
      <c r="K375" t="s">
        <v>22</v>
      </c>
      <c r="L375" t="s">
        <v>17</v>
      </c>
    </row>
    <row r="376" spans="1:12" x14ac:dyDescent="0.3">
      <c r="A376" t="s">
        <v>420</v>
      </c>
      <c r="B376" s="1">
        <v>45796</v>
      </c>
      <c r="C376" t="s">
        <v>19</v>
      </c>
      <c r="D376" t="s">
        <v>30</v>
      </c>
      <c r="E376" t="s">
        <v>47</v>
      </c>
      <c r="F376">
        <v>4</v>
      </c>
      <c r="G376">
        <v>450</v>
      </c>
      <c r="H376">
        <v>1440</v>
      </c>
      <c r="I376">
        <v>0.2</v>
      </c>
      <c r="J376">
        <v>113.83</v>
      </c>
      <c r="K376" t="s">
        <v>22</v>
      </c>
      <c r="L376" t="s">
        <v>32</v>
      </c>
    </row>
    <row r="377" spans="1:12" x14ac:dyDescent="0.3">
      <c r="A377" t="s">
        <v>421</v>
      </c>
      <c r="B377" s="1">
        <v>45707</v>
      </c>
      <c r="C377" t="s">
        <v>35</v>
      </c>
      <c r="D377" t="s">
        <v>36</v>
      </c>
      <c r="E377" t="s">
        <v>54</v>
      </c>
      <c r="F377">
        <v>5</v>
      </c>
      <c r="G377">
        <v>7000</v>
      </c>
      <c r="H377">
        <v>33250</v>
      </c>
      <c r="I377">
        <v>0.05</v>
      </c>
      <c r="J377">
        <v>13232.56</v>
      </c>
      <c r="K377" t="s">
        <v>16</v>
      </c>
      <c r="L377" t="s">
        <v>23</v>
      </c>
    </row>
    <row r="378" spans="1:12" x14ac:dyDescent="0.3">
      <c r="A378" t="s">
        <v>422</v>
      </c>
      <c r="B378" s="1">
        <v>45662</v>
      </c>
      <c r="C378" t="s">
        <v>19</v>
      </c>
      <c r="D378" t="s">
        <v>14</v>
      </c>
      <c r="E378" t="s">
        <v>15</v>
      </c>
      <c r="F378">
        <v>6</v>
      </c>
      <c r="G378">
        <v>1200</v>
      </c>
      <c r="H378">
        <v>6840</v>
      </c>
      <c r="I378">
        <v>0.05</v>
      </c>
      <c r="J378">
        <v>2227.12</v>
      </c>
      <c r="K378" t="s">
        <v>22</v>
      </c>
      <c r="L378" t="s">
        <v>17</v>
      </c>
    </row>
    <row r="379" spans="1:12" x14ac:dyDescent="0.3">
      <c r="A379" t="s">
        <v>423</v>
      </c>
      <c r="B379" s="1">
        <v>45665</v>
      </c>
      <c r="C379" t="s">
        <v>56</v>
      </c>
      <c r="D379" t="s">
        <v>14</v>
      </c>
      <c r="E379" t="s">
        <v>15</v>
      </c>
      <c r="F379">
        <v>7</v>
      </c>
      <c r="G379">
        <v>1200</v>
      </c>
      <c r="H379">
        <v>7140</v>
      </c>
      <c r="I379">
        <v>0.15</v>
      </c>
      <c r="J379">
        <v>1413.7</v>
      </c>
      <c r="K379" t="s">
        <v>16</v>
      </c>
      <c r="L379" t="s">
        <v>32</v>
      </c>
    </row>
    <row r="380" spans="1:12" x14ac:dyDescent="0.3">
      <c r="A380" t="s">
        <v>424</v>
      </c>
      <c r="B380" s="1">
        <v>45931</v>
      </c>
      <c r="C380" t="s">
        <v>13</v>
      </c>
      <c r="D380" t="s">
        <v>36</v>
      </c>
      <c r="E380" t="s">
        <v>54</v>
      </c>
      <c r="F380">
        <v>2</v>
      </c>
      <c r="G380">
        <v>7000</v>
      </c>
      <c r="H380">
        <v>11200</v>
      </c>
      <c r="I380">
        <v>0.2</v>
      </c>
      <c r="J380">
        <v>352.45</v>
      </c>
      <c r="K380" t="s">
        <v>26</v>
      </c>
      <c r="L380" t="s">
        <v>17</v>
      </c>
    </row>
    <row r="381" spans="1:12" x14ac:dyDescent="0.3">
      <c r="A381" t="s">
        <v>425</v>
      </c>
      <c r="B381" s="1">
        <v>45900</v>
      </c>
      <c r="C381" t="s">
        <v>56</v>
      </c>
      <c r="D381" t="s">
        <v>30</v>
      </c>
      <c r="E381" t="s">
        <v>41</v>
      </c>
      <c r="F381">
        <v>7</v>
      </c>
      <c r="G381">
        <v>600</v>
      </c>
      <c r="H381">
        <v>3990</v>
      </c>
      <c r="I381">
        <v>0.05</v>
      </c>
      <c r="J381">
        <v>1623.11</v>
      </c>
      <c r="K381" t="s">
        <v>16</v>
      </c>
      <c r="L381" t="s">
        <v>17</v>
      </c>
    </row>
    <row r="382" spans="1:12" x14ac:dyDescent="0.3">
      <c r="A382" t="s">
        <v>426</v>
      </c>
      <c r="B382" s="1">
        <v>45849</v>
      </c>
      <c r="C382" t="s">
        <v>13</v>
      </c>
      <c r="D382" t="s">
        <v>20</v>
      </c>
      <c r="E382" t="s">
        <v>97</v>
      </c>
      <c r="F382">
        <v>2</v>
      </c>
      <c r="G382">
        <v>400</v>
      </c>
      <c r="H382">
        <v>640</v>
      </c>
      <c r="I382">
        <v>0.2</v>
      </c>
      <c r="J382">
        <v>108.06</v>
      </c>
      <c r="K382" t="s">
        <v>26</v>
      </c>
      <c r="L382" t="s">
        <v>17</v>
      </c>
    </row>
    <row r="383" spans="1:12" x14ac:dyDescent="0.3">
      <c r="A383" t="s">
        <v>427</v>
      </c>
      <c r="B383" s="1">
        <v>45701</v>
      </c>
      <c r="C383" t="s">
        <v>13</v>
      </c>
      <c r="D383" t="s">
        <v>14</v>
      </c>
      <c r="E383" t="s">
        <v>105</v>
      </c>
      <c r="F383">
        <v>1</v>
      </c>
      <c r="G383">
        <v>14000</v>
      </c>
      <c r="H383">
        <v>12600</v>
      </c>
      <c r="I383">
        <v>0.1</v>
      </c>
      <c r="J383">
        <v>3837.59</v>
      </c>
      <c r="K383" t="s">
        <v>26</v>
      </c>
      <c r="L383" t="s">
        <v>17</v>
      </c>
    </row>
    <row r="384" spans="1:12" x14ac:dyDescent="0.3">
      <c r="A384" t="s">
        <v>428</v>
      </c>
      <c r="B384" s="1">
        <v>45824</v>
      </c>
      <c r="C384" t="s">
        <v>13</v>
      </c>
      <c r="D384" t="s">
        <v>30</v>
      </c>
      <c r="E384" t="s">
        <v>31</v>
      </c>
      <c r="F384">
        <v>1</v>
      </c>
      <c r="G384">
        <v>120</v>
      </c>
      <c r="H384">
        <v>120</v>
      </c>
      <c r="I384">
        <v>0</v>
      </c>
      <c r="J384">
        <v>30.37</v>
      </c>
      <c r="K384" t="s">
        <v>16</v>
      </c>
      <c r="L384" t="s">
        <v>23</v>
      </c>
    </row>
    <row r="385" spans="1:12" x14ac:dyDescent="0.3">
      <c r="A385" t="s">
        <v>429</v>
      </c>
      <c r="B385" s="1">
        <v>45834</v>
      </c>
      <c r="C385" t="s">
        <v>35</v>
      </c>
      <c r="D385" t="s">
        <v>30</v>
      </c>
      <c r="E385" t="s">
        <v>41</v>
      </c>
      <c r="F385">
        <v>5</v>
      </c>
      <c r="G385">
        <v>600</v>
      </c>
      <c r="H385">
        <v>2400</v>
      </c>
      <c r="I385">
        <v>0.2</v>
      </c>
      <c r="J385">
        <v>187.28</v>
      </c>
      <c r="K385" t="s">
        <v>22</v>
      </c>
      <c r="L385" t="s">
        <v>23</v>
      </c>
    </row>
    <row r="386" spans="1:12" x14ac:dyDescent="0.3">
      <c r="A386" t="s">
        <v>430</v>
      </c>
      <c r="B386" s="1">
        <v>45939</v>
      </c>
      <c r="C386" t="s">
        <v>56</v>
      </c>
      <c r="D386" t="s">
        <v>14</v>
      </c>
      <c r="E386" t="s">
        <v>105</v>
      </c>
      <c r="F386">
        <v>3</v>
      </c>
      <c r="G386">
        <v>14000</v>
      </c>
      <c r="H386">
        <v>37800</v>
      </c>
      <c r="I386">
        <v>0.1</v>
      </c>
      <c r="J386">
        <v>8778.41</v>
      </c>
      <c r="K386" t="s">
        <v>22</v>
      </c>
      <c r="L386" t="s">
        <v>17</v>
      </c>
    </row>
    <row r="387" spans="1:12" x14ac:dyDescent="0.3">
      <c r="A387" t="s">
        <v>431</v>
      </c>
      <c r="B387" s="1">
        <v>45855</v>
      </c>
      <c r="C387" t="s">
        <v>56</v>
      </c>
      <c r="D387" t="s">
        <v>20</v>
      </c>
      <c r="E387" t="s">
        <v>39</v>
      </c>
      <c r="F387">
        <v>5</v>
      </c>
      <c r="G387">
        <v>2800</v>
      </c>
      <c r="H387">
        <v>12600</v>
      </c>
      <c r="I387">
        <v>0.1</v>
      </c>
      <c r="J387">
        <v>3364.55</v>
      </c>
      <c r="K387" t="s">
        <v>26</v>
      </c>
      <c r="L387" t="s">
        <v>32</v>
      </c>
    </row>
    <row r="388" spans="1:12" x14ac:dyDescent="0.3">
      <c r="A388" t="s">
        <v>432</v>
      </c>
      <c r="B388" s="1">
        <v>45750</v>
      </c>
      <c r="C388" t="s">
        <v>19</v>
      </c>
      <c r="D388" t="s">
        <v>14</v>
      </c>
      <c r="E388" t="s">
        <v>15</v>
      </c>
      <c r="F388">
        <v>9</v>
      </c>
      <c r="G388">
        <v>1200</v>
      </c>
      <c r="H388">
        <v>9720</v>
      </c>
      <c r="I388">
        <v>0.1</v>
      </c>
      <c r="J388">
        <v>1615.37</v>
      </c>
      <c r="K388" t="s">
        <v>22</v>
      </c>
      <c r="L388" t="s">
        <v>23</v>
      </c>
    </row>
    <row r="389" spans="1:12" x14ac:dyDescent="0.3">
      <c r="A389" t="s">
        <v>433</v>
      </c>
      <c r="B389" s="1">
        <v>45961</v>
      </c>
      <c r="C389" t="s">
        <v>56</v>
      </c>
      <c r="D389" t="s">
        <v>20</v>
      </c>
      <c r="E389" t="s">
        <v>97</v>
      </c>
      <c r="F389">
        <v>4</v>
      </c>
      <c r="G389">
        <v>400</v>
      </c>
      <c r="H389">
        <v>1360</v>
      </c>
      <c r="I389">
        <v>0.15</v>
      </c>
      <c r="J389">
        <v>64.25</v>
      </c>
      <c r="K389" t="s">
        <v>22</v>
      </c>
      <c r="L389" t="s">
        <v>32</v>
      </c>
    </row>
    <row r="390" spans="1:12" x14ac:dyDescent="0.3">
      <c r="A390" t="s">
        <v>434</v>
      </c>
      <c r="B390" s="1">
        <v>45716</v>
      </c>
      <c r="C390" t="s">
        <v>13</v>
      </c>
      <c r="D390" t="s">
        <v>20</v>
      </c>
      <c r="E390" t="s">
        <v>84</v>
      </c>
      <c r="F390">
        <v>7</v>
      </c>
      <c r="G390">
        <v>3200</v>
      </c>
      <c r="H390">
        <v>19040</v>
      </c>
      <c r="I390">
        <v>0.15</v>
      </c>
      <c r="J390">
        <v>3691.55</v>
      </c>
      <c r="K390" t="s">
        <v>22</v>
      </c>
      <c r="L390" t="s">
        <v>32</v>
      </c>
    </row>
    <row r="391" spans="1:12" x14ac:dyDescent="0.3">
      <c r="A391" t="s">
        <v>435</v>
      </c>
      <c r="B391" s="1">
        <v>45791</v>
      </c>
      <c r="C391" t="s">
        <v>28</v>
      </c>
      <c r="D391" t="s">
        <v>36</v>
      </c>
      <c r="E391" t="s">
        <v>37</v>
      </c>
      <c r="F391">
        <v>2</v>
      </c>
      <c r="G391">
        <v>1800</v>
      </c>
      <c r="H391">
        <v>3060</v>
      </c>
      <c r="I391">
        <v>0.15</v>
      </c>
      <c r="J391">
        <v>937.77</v>
      </c>
      <c r="K391" t="s">
        <v>16</v>
      </c>
      <c r="L391" t="s">
        <v>32</v>
      </c>
    </row>
    <row r="392" spans="1:12" x14ac:dyDescent="0.3">
      <c r="A392" t="s">
        <v>436</v>
      </c>
      <c r="B392" s="1">
        <v>45793</v>
      </c>
      <c r="C392" t="s">
        <v>28</v>
      </c>
      <c r="D392" t="s">
        <v>20</v>
      </c>
      <c r="E392" t="s">
        <v>21</v>
      </c>
      <c r="F392">
        <v>8</v>
      </c>
      <c r="G392">
        <v>650</v>
      </c>
      <c r="H392">
        <v>5200</v>
      </c>
      <c r="I392">
        <v>0</v>
      </c>
      <c r="J392">
        <v>2009.67</v>
      </c>
      <c r="K392" t="s">
        <v>16</v>
      </c>
      <c r="L392" t="s">
        <v>23</v>
      </c>
    </row>
    <row r="393" spans="1:12" x14ac:dyDescent="0.3">
      <c r="A393" t="s">
        <v>437</v>
      </c>
      <c r="B393" s="1">
        <v>45971</v>
      </c>
      <c r="C393" t="s">
        <v>19</v>
      </c>
      <c r="D393" t="s">
        <v>14</v>
      </c>
      <c r="E393" t="s">
        <v>15</v>
      </c>
      <c r="F393">
        <v>8</v>
      </c>
      <c r="G393">
        <v>1200</v>
      </c>
      <c r="H393">
        <v>9120</v>
      </c>
      <c r="I393">
        <v>0.05</v>
      </c>
      <c r="J393">
        <v>-457.45</v>
      </c>
      <c r="K393" t="s">
        <v>22</v>
      </c>
      <c r="L393" t="s">
        <v>23</v>
      </c>
    </row>
    <row r="394" spans="1:12" x14ac:dyDescent="0.3">
      <c r="A394" t="s">
        <v>438</v>
      </c>
      <c r="B394" s="1">
        <v>45762</v>
      </c>
      <c r="C394" t="s">
        <v>56</v>
      </c>
      <c r="D394" t="s">
        <v>36</v>
      </c>
      <c r="E394" t="s">
        <v>37</v>
      </c>
      <c r="F394">
        <v>10</v>
      </c>
      <c r="G394">
        <v>12000</v>
      </c>
      <c r="H394">
        <v>120000</v>
      </c>
      <c r="I394">
        <v>0</v>
      </c>
      <c r="J394">
        <v>46526.15</v>
      </c>
      <c r="K394" t="s">
        <v>26</v>
      </c>
      <c r="L394" t="s">
        <v>32</v>
      </c>
    </row>
    <row r="395" spans="1:12" x14ac:dyDescent="0.3">
      <c r="A395" t="s">
        <v>439</v>
      </c>
      <c r="B395" s="1">
        <v>45987</v>
      </c>
      <c r="C395" t="s">
        <v>35</v>
      </c>
      <c r="D395" t="s">
        <v>14</v>
      </c>
      <c r="E395" t="s">
        <v>25</v>
      </c>
      <c r="F395">
        <v>6</v>
      </c>
      <c r="G395">
        <v>3200</v>
      </c>
      <c r="H395">
        <v>17280</v>
      </c>
      <c r="I395">
        <v>0.1</v>
      </c>
      <c r="J395">
        <v>2319.65</v>
      </c>
      <c r="K395" t="s">
        <v>22</v>
      </c>
      <c r="L395" t="s">
        <v>17</v>
      </c>
    </row>
    <row r="396" spans="1:12" x14ac:dyDescent="0.3">
      <c r="A396" t="s">
        <v>440</v>
      </c>
      <c r="B396" s="1">
        <v>46017</v>
      </c>
      <c r="C396" t="s">
        <v>13</v>
      </c>
      <c r="D396" t="s">
        <v>20</v>
      </c>
      <c r="E396" t="s">
        <v>21</v>
      </c>
      <c r="F396">
        <v>9</v>
      </c>
      <c r="G396">
        <v>650</v>
      </c>
      <c r="H396">
        <v>5850</v>
      </c>
      <c r="I396">
        <v>0</v>
      </c>
      <c r="J396">
        <v>2445.4499999999998</v>
      </c>
      <c r="K396" t="s">
        <v>26</v>
      </c>
      <c r="L396" t="s">
        <v>32</v>
      </c>
    </row>
    <row r="397" spans="1:12" x14ac:dyDescent="0.3">
      <c r="A397" t="s">
        <v>441</v>
      </c>
      <c r="B397" s="1">
        <v>45691</v>
      </c>
      <c r="C397" t="s">
        <v>13</v>
      </c>
      <c r="D397" t="s">
        <v>36</v>
      </c>
      <c r="E397" t="s">
        <v>54</v>
      </c>
      <c r="F397">
        <v>3</v>
      </c>
      <c r="G397">
        <v>7000</v>
      </c>
      <c r="H397">
        <v>21000</v>
      </c>
      <c r="I397">
        <v>0</v>
      </c>
      <c r="J397">
        <v>-2730.64</v>
      </c>
      <c r="K397" t="s">
        <v>26</v>
      </c>
      <c r="L397" t="s">
        <v>17</v>
      </c>
    </row>
    <row r="398" spans="1:12" x14ac:dyDescent="0.3">
      <c r="A398" t="s">
        <v>442</v>
      </c>
      <c r="B398" s="1">
        <v>45873</v>
      </c>
      <c r="C398" t="s">
        <v>28</v>
      </c>
      <c r="D398" t="s">
        <v>36</v>
      </c>
      <c r="E398" t="s">
        <v>54</v>
      </c>
      <c r="F398">
        <v>10</v>
      </c>
      <c r="G398">
        <v>7000</v>
      </c>
      <c r="H398">
        <v>70000</v>
      </c>
      <c r="I398">
        <v>0</v>
      </c>
      <c r="J398">
        <v>21319.62</v>
      </c>
      <c r="K398" t="s">
        <v>22</v>
      </c>
      <c r="L398" t="s">
        <v>32</v>
      </c>
    </row>
    <row r="399" spans="1:12" x14ac:dyDescent="0.3">
      <c r="A399" t="s">
        <v>443</v>
      </c>
      <c r="B399" s="1">
        <v>45875</v>
      </c>
      <c r="C399" t="s">
        <v>28</v>
      </c>
      <c r="D399" t="s">
        <v>14</v>
      </c>
      <c r="E399" t="s">
        <v>105</v>
      </c>
      <c r="F399">
        <v>8</v>
      </c>
      <c r="G399">
        <v>14000</v>
      </c>
      <c r="H399">
        <v>89600</v>
      </c>
      <c r="I399">
        <v>0.2</v>
      </c>
      <c r="J399">
        <v>4816.67</v>
      </c>
      <c r="K399" t="s">
        <v>26</v>
      </c>
      <c r="L399" t="s">
        <v>32</v>
      </c>
    </row>
    <row r="400" spans="1:12" x14ac:dyDescent="0.3">
      <c r="A400" t="s">
        <v>444</v>
      </c>
      <c r="B400" s="1">
        <v>45799</v>
      </c>
      <c r="C400" t="s">
        <v>19</v>
      </c>
      <c r="D400" t="s">
        <v>14</v>
      </c>
      <c r="E400" t="s">
        <v>43</v>
      </c>
      <c r="F400">
        <v>8</v>
      </c>
      <c r="G400">
        <v>65000</v>
      </c>
      <c r="H400">
        <v>468000</v>
      </c>
      <c r="I400">
        <v>0.1</v>
      </c>
      <c r="J400">
        <v>84427.41</v>
      </c>
      <c r="K400" t="s">
        <v>26</v>
      </c>
      <c r="L400" t="s">
        <v>23</v>
      </c>
    </row>
    <row r="401" spans="1:12" x14ac:dyDescent="0.3">
      <c r="A401" t="s">
        <v>445</v>
      </c>
      <c r="B401" s="1">
        <v>45977</v>
      </c>
      <c r="C401" t="s">
        <v>56</v>
      </c>
      <c r="D401" t="s">
        <v>14</v>
      </c>
      <c r="E401" t="s">
        <v>105</v>
      </c>
      <c r="F401">
        <v>3</v>
      </c>
      <c r="G401">
        <v>14000</v>
      </c>
      <c r="H401">
        <v>35700</v>
      </c>
      <c r="I401">
        <v>0.15</v>
      </c>
      <c r="J401">
        <v>10811.39</v>
      </c>
      <c r="K401" t="s">
        <v>16</v>
      </c>
      <c r="L401" t="s">
        <v>32</v>
      </c>
    </row>
    <row r="402" spans="1:12" x14ac:dyDescent="0.3">
      <c r="A402" t="s">
        <v>446</v>
      </c>
      <c r="B402" s="1">
        <v>45708</v>
      </c>
      <c r="C402" t="s">
        <v>19</v>
      </c>
      <c r="D402" t="s">
        <v>20</v>
      </c>
      <c r="E402" t="s">
        <v>39</v>
      </c>
      <c r="F402">
        <v>7</v>
      </c>
      <c r="G402">
        <v>2800</v>
      </c>
      <c r="H402">
        <v>19600</v>
      </c>
      <c r="I402">
        <v>0</v>
      </c>
      <c r="J402">
        <v>8327.17</v>
      </c>
      <c r="K402" t="s">
        <v>26</v>
      </c>
      <c r="L402" t="s">
        <v>23</v>
      </c>
    </row>
    <row r="403" spans="1:12" x14ac:dyDescent="0.3">
      <c r="A403" t="s">
        <v>447</v>
      </c>
      <c r="B403" s="1">
        <v>45999</v>
      </c>
      <c r="C403" t="s">
        <v>28</v>
      </c>
      <c r="D403" t="s">
        <v>20</v>
      </c>
      <c r="E403" t="s">
        <v>84</v>
      </c>
      <c r="F403">
        <v>9</v>
      </c>
      <c r="G403">
        <v>3200</v>
      </c>
      <c r="H403">
        <v>28800</v>
      </c>
      <c r="I403">
        <v>0</v>
      </c>
      <c r="J403">
        <v>7917.24</v>
      </c>
      <c r="K403" t="s">
        <v>16</v>
      </c>
      <c r="L403" t="s">
        <v>32</v>
      </c>
    </row>
    <row r="404" spans="1:12" x14ac:dyDescent="0.3">
      <c r="A404" t="s">
        <v>448</v>
      </c>
      <c r="B404" s="1">
        <v>45824</v>
      </c>
      <c r="C404" t="s">
        <v>56</v>
      </c>
      <c r="D404" t="s">
        <v>36</v>
      </c>
      <c r="E404" t="s">
        <v>37</v>
      </c>
      <c r="F404">
        <v>3</v>
      </c>
      <c r="G404">
        <v>12000</v>
      </c>
      <c r="H404">
        <v>28800</v>
      </c>
      <c r="I404">
        <v>0.2</v>
      </c>
      <c r="J404">
        <v>6372.07</v>
      </c>
      <c r="K404" t="s">
        <v>26</v>
      </c>
      <c r="L404" t="s">
        <v>23</v>
      </c>
    </row>
    <row r="405" spans="1:12" x14ac:dyDescent="0.3">
      <c r="A405" t="s">
        <v>449</v>
      </c>
      <c r="B405" s="1">
        <v>45746</v>
      </c>
      <c r="C405" t="s">
        <v>56</v>
      </c>
      <c r="D405" t="s">
        <v>36</v>
      </c>
      <c r="E405" t="s">
        <v>54</v>
      </c>
      <c r="F405">
        <v>5</v>
      </c>
      <c r="G405">
        <v>7000</v>
      </c>
      <c r="H405">
        <v>35000</v>
      </c>
      <c r="I405">
        <v>0</v>
      </c>
      <c r="J405">
        <v>12690.19</v>
      </c>
      <c r="K405" t="s">
        <v>22</v>
      </c>
      <c r="L405" t="s">
        <v>17</v>
      </c>
    </row>
    <row r="406" spans="1:12" x14ac:dyDescent="0.3">
      <c r="A406" t="s">
        <v>450</v>
      </c>
      <c r="B406" s="1">
        <v>45705</v>
      </c>
      <c r="C406" t="s">
        <v>19</v>
      </c>
      <c r="D406" t="s">
        <v>30</v>
      </c>
      <c r="E406" t="s">
        <v>31</v>
      </c>
      <c r="F406">
        <v>3</v>
      </c>
      <c r="G406">
        <v>120</v>
      </c>
      <c r="H406">
        <v>306</v>
      </c>
      <c r="I406">
        <v>0.15</v>
      </c>
      <c r="J406">
        <v>81.45</v>
      </c>
      <c r="K406" t="s">
        <v>26</v>
      </c>
      <c r="L406" t="s">
        <v>23</v>
      </c>
    </row>
    <row r="407" spans="1:12" x14ac:dyDescent="0.3">
      <c r="A407" t="s">
        <v>451</v>
      </c>
      <c r="B407" s="1">
        <v>45731</v>
      </c>
      <c r="C407" t="s">
        <v>28</v>
      </c>
      <c r="D407" t="s">
        <v>20</v>
      </c>
      <c r="E407" t="s">
        <v>97</v>
      </c>
      <c r="F407">
        <v>4</v>
      </c>
      <c r="G407">
        <v>400</v>
      </c>
      <c r="H407">
        <v>1280</v>
      </c>
      <c r="I407">
        <v>0.2</v>
      </c>
      <c r="J407">
        <v>318.85000000000002</v>
      </c>
      <c r="K407" t="s">
        <v>16</v>
      </c>
      <c r="L407" t="s">
        <v>17</v>
      </c>
    </row>
    <row r="408" spans="1:12" x14ac:dyDescent="0.3">
      <c r="A408" t="s">
        <v>452</v>
      </c>
      <c r="B408" s="1">
        <v>45849</v>
      </c>
      <c r="C408" t="s">
        <v>56</v>
      </c>
      <c r="D408" t="s">
        <v>36</v>
      </c>
      <c r="E408" t="s">
        <v>37</v>
      </c>
      <c r="F408">
        <v>8</v>
      </c>
      <c r="G408">
        <v>12000</v>
      </c>
      <c r="H408">
        <v>86400</v>
      </c>
      <c r="I408">
        <v>0.1</v>
      </c>
      <c r="J408">
        <v>25817.759999999998</v>
      </c>
      <c r="K408" t="s">
        <v>22</v>
      </c>
      <c r="L408" t="s">
        <v>32</v>
      </c>
    </row>
    <row r="409" spans="1:12" x14ac:dyDescent="0.3">
      <c r="A409" t="s">
        <v>453</v>
      </c>
      <c r="B409" s="1">
        <v>45941</v>
      </c>
      <c r="C409" t="s">
        <v>56</v>
      </c>
      <c r="D409" t="s">
        <v>36</v>
      </c>
      <c r="E409" t="s">
        <v>37</v>
      </c>
      <c r="F409">
        <v>3</v>
      </c>
      <c r="G409">
        <v>12000</v>
      </c>
      <c r="H409">
        <v>36000</v>
      </c>
      <c r="I409">
        <v>0</v>
      </c>
      <c r="J409">
        <v>7799.93</v>
      </c>
      <c r="K409" t="s">
        <v>26</v>
      </c>
      <c r="L409" t="s">
        <v>17</v>
      </c>
    </row>
    <row r="410" spans="1:12" x14ac:dyDescent="0.3">
      <c r="A410" t="s">
        <v>454</v>
      </c>
      <c r="B410" s="1">
        <v>45774</v>
      </c>
      <c r="C410" t="s">
        <v>13</v>
      </c>
      <c r="D410" t="s">
        <v>36</v>
      </c>
      <c r="E410" t="s">
        <v>91</v>
      </c>
      <c r="F410">
        <v>5</v>
      </c>
      <c r="G410">
        <v>8500</v>
      </c>
      <c r="H410">
        <v>38250</v>
      </c>
      <c r="I410">
        <v>0.1</v>
      </c>
      <c r="J410">
        <v>6112.97</v>
      </c>
      <c r="K410" t="s">
        <v>22</v>
      </c>
      <c r="L410" t="s">
        <v>32</v>
      </c>
    </row>
    <row r="411" spans="1:12" x14ac:dyDescent="0.3">
      <c r="A411" t="s">
        <v>455</v>
      </c>
      <c r="B411" s="1">
        <v>45884</v>
      </c>
      <c r="C411" t="s">
        <v>13</v>
      </c>
      <c r="D411" t="s">
        <v>30</v>
      </c>
      <c r="E411" t="s">
        <v>41</v>
      </c>
      <c r="F411">
        <v>1</v>
      </c>
      <c r="G411">
        <v>600</v>
      </c>
      <c r="H411">
        <v>510</v>
      </c>
      <c r="I411">
        <v>0.15</v>
      </c>
      <c r="J411">
        <v>124.75</v>
      </c>
      <c r="K411" t="s">
        <v>22</v>
      </c>
      <c r="L411" t="s">
        <v>17</v>
      </c>
    </row>
    <row r="412" spans="1:12" x14ac:dyDescent="0.3">
      <c r="A412" t="s">
        <v>456</v>
      </c>
      <c r="B412" s="1">
        <v>45965</v>
      </c>
      <c r="C412" t="s">
        <v>13</v>
      </c>
      <c r="D412" t="s">
        <v>30</v>
      </c>
      <c r="E412" t="s">
        <v>47</v>
      </c>
      <c r="F412">
        <v>5</v>
      </c>
      <c r="G412">
        <v>450</v>
      </c>
      <c r="H412">
        <v>2250</v>
      </c>
      <c r="I412">
        <v>0</v>
      </c>
      <c r="J412">
        <v>882.84</v>
      </c>
      <c r="K412" t="s">
        <v>22</v>
      </c>
      <c r="L412" t="s">
        <v>17</v>
      </c>
    </row>
    <row r="413" spans="1:12" x14ac:dyDescent="0.3">
      <c r="A413" t="s">
        <v>457</v>
      </c>
      <c r="B413" s="1">
        <v>45816</v>
      </c>
      <c r="C413" t="s">
        <v>56</v>
      </c>
      <c r="D413" t="s">
        <v>30</v>
      </c>
      <c r="E413" t="s">
        <v>31</v>
      </c>
      <c r="F413">
        <v>7</v>
      </c>
      <c r="G413">
        <v>120</v>
      </c>
      <c r="H413">
        <v>798</v>
      </c>
      <c r="I413">
        <v>0.05</v>
      </c>
      <c r="J413">
        <v>133.13999999999999</v>
      </c>
      <c r="K413" t="s">
        <v>16</v>
      </c>
      <c r="L413" t="s">
        <v>32</v>
      </c>
    </row>
    <row r="414" spans="1:12" x14ac:dyDescent="0.3">
      <c r="A414" t="s">
        <v>458</v>
      </c>
      <c r="B414" s="1">
        <v>45789</v>
      </c>
      <c r="C414" t="s">
        <v>35</v>
      </c>
      <c r="D414" t="s">
        <v>36</v>
      </c>
      <c r="E414" t="s">
        <v>91</v>
      </c>
      <c r="F414">
        <v>8</v>
      </c>
      <c r="G414">
        <v>8500</v>
      </c>
      <c r="H414">
        <v>61200</v>
      </c>
      <c r="I414">
        <v>0.1</v>
      </c>
      <c r="J414">
        <v>16934.43</v>
      </c>
      <c r="K414" t="s">
        <v>22</v>
      </c>
      <c r="L414" t="s">
        <v>23</v>
      </c>
    </row>
    <row r="415" spans="1:12" x14ac:dyDescent="0.3">
      <c r="A415" t="s">
        <v>459</v>
      </c>
      <c r="B415" s="1">
        <v>45794</v>
      </c>
      <c r="C415" t="s">
        <v>56</v>
      </c>
      <c r="D415" t="s">
        <v>20</v>
      </c>
      <c r="E415" t="s">
        <v>84</v>
      </c>
      <c r="F415">
        <v>8</v>
      </c>
      <c r="G415">
        <v>3200</v>
      </c>
      <c r="H415">
        <v>21760</v>
      </c>
      <c r="I415">
        <v>0.15</v>
      </c>
      <c r="J415">
        <v>5855.03</v>
      </c>
      <c r="K415" t="s">
        <v>16</v>
      </c>
      <c r="L415" t="s">
        <v>23</v>
      </c>
    </row>
    <row r="416" spans="1:12" x14ac:dyDescent="0.3">
      <c r="A416" t="s">
        <v>460</v>
      </c>
      <c r="B416" s="1">
        <v>45701</v>
      </c>
      <c r="C416" t="s">
        <v>35</v>
      </c>
      <c r="D416" t="s">
        <v>20</v>
      </c>
      <c r="E416" t="s">
        <v>84</v>
      </c>
      <c r="F416">
        <v>7</v>
      </c>
      <c r="G416">
        <v>3200</v>
      </c>
      <c r="H416">
        <v>21280</v>
      </c>
      <c r="I416">
        <v>0.05</v>
      </c>
      <c r="J416">
        <v>7280.86</v>
      </c>
      <c r="K416" t="s">
        <v>22</v>
      </c>
      <c r="L416" t="s">
        <v>23</v>
      </c>
    </row>
    <row r="417" spans="1:12" x14ac:dyDescent="0.3">
      <c r="A417" t="s">
        <v>461</v>
      </c>
      <c r="B417" s="1">
        <v>45953</v>
      </c>
      <c r="C417" t="s">
        <v>56</v>
      </c>
      <c r="D417" t="s">
        <v>36</v>
      </c>
      <c r="E417" t="s">
        <v>91</v>
      </c>
      <c r="F417">
        <v>7</v>
      </c>
      <c r="G417">
        <v>8500</v>
      </c>
      <c r="H417">
        <v>59500</v>
      </c>
      <c r="I417">
        <v>0</v>
      </c>
      <c r="J417">
        <v>14711.41</v>
      </c>
      <c r="K417" t="s">
        <v>22</v>
      </c>
      <c r="L417" t="s">
        <v>23</v>
      </c>
    </row>
    <row r="418" spans="1:12" x14ac:dyDescent="0.3">
      <c r="A418" t="s">
        <v>462</v>
      </c>
      <c r="B418" s="1">
        <v>45766</v>
      </c>
      <c r="C418" t="s">
        <v>56</v>
      </c>
      <c r="D418" t="s">
        <v>14</v>
      </c>
      <c r="E418" t="s">
        <v>25</v>
      </c>
      <c r="F418">
        <v>7</v>
      </c>
      <c r="G418">
        <v>3200</v>
      </c>
      <c r="H418">
        <v>22400</v>
      </c>
      <c r="I418">
        <v>0</v>
      </c>
      <c r="J418">
        <v>9060.11</v>
      </c>
      <c r="K418" t="s">
        <v>22</v>
      </c>
      <c r="L418" t="s">
        <v>32</v>
      </c>
    </row>
    <row r="419" spans="1:12" x14ac:dyDescent="0.3">
      <c r="A419" t="s">
        <v>463</v>
      </c>
      <c r="B419" s="1">
        <v>45953</v>
      </c>
      <c r="C419" t="s">
        <v>13</v>
      </c>
      <c r="D419" t="s">
        <v>30</v>
      </c>
      <c r="E419" t="s">
        <v>47</v>
      </c>
      <c r="F419">
        <v>5</v>
      </c>
      <c r="G419">
        <v>450</v>
      </c>
      <c r="H419">
        <v>1912.5</v>
      </c>
      <c r="I419">
        <v>0.15</v>
      </c>
      <c r="J419">
        <v>168</v>
      </c>
      <c r="K419" t="s">
        <v>16</v>
      </c>
      <c r="L419" t="s">
        <v>23</v>
      </c>
    </row>
    <row r="420" spans="1:12" x14ac:dyDescent="0.3">
      <c r="A420" t="s">
        <v>464</v>
      </c>
      <c r="B420" s="1">
        <v>45771</v>
      </c>
      <c r="C420" t="s">
        <v>56</v>
      </c>
      <c r="D420" t="s">
        <v>14</v>
      </c>
      <c r="E420" t="s">
        <v>51</v>
      </c>
      <c r="F420">
        <v>2</v>
      </c>
      <c r="G420">
        <v>2500</v>
      </c>
      <c r="H420">
        <v>4500</v>
      </c>
      <c r="I420">
        <v>0.1</v>
      </c>
      <c r="J420">
        <v>1355.49</v>
      </c>
      <c r="K420" t="s">
        <v>16</v>
      </c>
      <c r="L420" t="s">
        <v>23</v>
      </c>
    </row>
    <row r="421" spans="1:12" x14ac:dyDescent="0.3">
      <c r="A421" t="s">
        <v>465</v>
      </c>
      <c r="B421" s="1">
        <v>45787</v>
      </c>
      <c r="C421" t="s">
        <v>35</v>
      </c>
      <c r="D421" t="s">
        <v>30</v>
      </c>
      <c r="E421" t="s">
        <v>82</v>
      </c>
      <c r="F421">
        <v>3</v>
      </c>
      <c r="G421">
        <v>250</v>
      </c>
      <c r="H421">
        <v>637.5</v>
      </c>
      <c r="I421">
        <v>0.15</v>
      </c>
      <c r="J421">
        <v>83.01</v>
      </c>
      <c r="K421" t="s">
        <v>26</v>
      </c>
      <c r="L421" t="s">
        <v>17</v>
      </c>
    </row>
    <row r="422" spans="1:12" x14ac:dyDescent="0.3">
      <c r="A422" t="s">
        <v>466</v>
      </c>
      <c r="B422" s="1">
        <v>45853</v>
      </c>
      <c r="C422" t="s">
        <v>28</v>
      </c>
      <c r="D422" t="s">
        <v>36</v>
      </c>
      <c r="E422" t="s">
        <v>37</v>
      </c>
      <c r="F422">
        <v>1</v>
      </c>
      <c r="G422">
        <v>1800</v>
      </c>
      <c r="H422">
        <v>1710</v>
      </c>
      <c r="I422">
        <v>0.05</v>
      </c>
      <c r="J422">
        <v>714.75</v>
      </c>
      <c r="K422" t="s">
        <v>22</v>
      </c>
      <c r="L422" t="s">
        <v>32</v>
      </c>
    </row>
    <row r="423" spans="1:12" x14ac:dyDescent="0.3">
      <c r="A423" t="s">
        <v>467</v>
      </c>
      <c r="B423" s="1">
        <v>45985</v>
      </c>
      <c r="C423" t="s">
        <v>19</v>
      </c>
      <c r="D423" t="s">
        <v>36</v>
      </c>
      <c r="E423" t="s">
        <v>91</v>
      </c>
      <c r="F423">
        <v>5</v>
      </c>
      <c r="G423">
        <v>8500</v>
      </c>
      <c r="H423">
        <v>42500</v>
      </c>
      <c r="I423">
        <v>0</v>
      </c>
      <c r="J423">
        <v>17615.37</v>
      </c>
      <c r="K423" t="s">
        <v>22</v>
      </c>
      <c r="L423" t="s">
        <v>32</v>
      </c>
    </row>
    <row r="424" spans="1:12" x14ac:dyDescent="0.3">
      <c r="A424" t="s">
        <v>468</v>
      </c>
      <c r="B424" s="1">
        <v>45757</v>
      </c>
      <c r="C424" t="s">
        <v>35</v>
      </c>
      <c r="D424" t="s">
        <v>20</v>
      </c>
      <c r="E424" t="s">
        <v>39</v>
      </c>
      <c r="F424">
        <v>3</v>
      </c>
      <c r="G424">
        <v>2800</v>
      </c>
      <c r="H424">
        <v>7560</v>
      </c>
      <c r="I424">
        <v>0.1</v>
      </c>
      <c r="J424">
        <v>1478.86</v>
      </c>
      <c r="K424" t="s">
        <v>16</v>
      </c>
      <c r="L424" t="s">
        <v>23</v>
      </c>
    </row>
    <row r="425" spans="1:12" x14ac:dyDescent="0.3">
      <c r="A425" t="s">
        <v>469</v>
      </c>
      <c r="B425" s="1">
        <v>45696</v>
      </c>
      <c r="C425" t="s">
        <v>28</v>
      </c>
      <c r="D425" t="s">
        <v>20</v>
      </c>
      <c r="E425" t="s">
        <v>97</v>
      </c>
      <c r="F425">
        <v>9</v>
      </c>
      <c r="G425">
        <v>400</v>
      </c>
      <c r="H425">
        <v>3600</v>
      </c>
      <c r="I425">
        <v>0</v>
      </c>
      <c r="J425">
        <v>1162.23</v>
      </c>
      <c r="K425" t="s">
        <v>26</v>
      </c>
      <c r="L425" t="s">
        <v>32</v>
      </c>
    </row>
    <row r="426" spans="1:12" x14ac:dyDescent="0.3">
      <c r="A426" t="s">
        <v>470</v>
      </c>
      <c r="B426" s="1">
        <v>45792</v>
      </c>
      <c r="C426" t="s">
        <v>56</v>
      </c>
      <c r="D426" t="s">
        <v>14</v>
      </c>
      <c r="E426" t="s">
        <v>65</v>
      </c>
      <c r="F426">
        <v>8</v>
      </c>
      <c r="G426">
        <v>700</v>
      </c>
      <c r="H426">
        <v>4480</v>
      </c>
      <c r="I426">
        <v>0.2</v>
      </c>
      <c r="J426">
        <v>-110.59</v>
      </c>
      <c r="K426" t="s">
        <v>16</v>
      </c>
      <c r="L426" t="s">
        <v>23</v>
      </c>
    </row>
    <row r="427" spans="1:12" x14ac:dyDescent="0.3">
      <c r="A427" t="s">
        <v>471</v>
      </c>
      <c r="B427" s="1">
        <v>45902</v>
      </c>
      <c r="C427" t="s">
        <v>35</v>
      </c>
      <c r="D427" t="s">
        <v>30</v>
      </c>
      <c r="E427" t="s">
        <v>47</v>
      </c>
      <c r="F427">
        <v>8</v>
      </c>
      <c r="G427">
        <v>450</v>
      </c>
      <c r="H427">
        <v>3600</v>
      </c>
      <c r="I427">
        <v>0</v>
      </c>
      <c r="J427">
        <v>1126.6400000000001</v>
      </c>
      <c r="K427" t="s">
        <v>16</v>
      </c>
      <c r="L427" t="s">
        <v>23</v>
      </c>
    </row>
    <row r="428" spans="1:12" x14ac:dyDescent="0.3">
      <c r="A428" t="s">
        <v>472</v>
      </c>
      <c r="B428" s="1">
        <v>45917</v>
      </c>
      <c r="C428" t="s">
        <v>13</v>
      </c>
      <c r="D428" t="s">
        <v>20</v>
      </c>
      <c r="E428" t="s">
        <v>21</v>
      </c>
      <c r="F428">
        <v>7</v>
      </c>
      <c r="G428">
        <v>650</v>
      </c>
      <c r="H428">
        <v>4550</v>
      </c>
      <c r="I428">
        <v>0</v>
      </c>
      <c r="J428">
        <v>1705.45</v>
      </c>
      <c r="K428" t="s">
        <v>22</v>
      </c>
      <c r="L428" t="s">
        <v>32</v>
      </c>
    </row>
    <row r="429" spans="1:12" x14ac:dyDescent="0.3">
      <c r="A429" t="s">
        <v>473</v>
      </c>
      <c r="B429" s="1">
        <v>45696</v>
      </c>
      <c r="C429" t="s">
        <v>13</v>
      </c>
      <c r="D429" t="s">
        <v>36</v>
      </c>
      <c r="E429" t="s">
        <v>37</v>
      </c>
      <c r="F429">
        <v>10</v>
      </c>
      <c r="G429">
        <v>12000</v>
      </c>
      <c r="H429">
        <v>120000</v>
      </c>
      <c r="I429">
        <v>0</v>
      </c>
      <c r="J429">
        <v>42691.3</v>
      </c>
      <c r="K429" t="s">
        <v>16</v>
      </c>
      <c r="L429" t="s">
        <v>23</v>
      </c>
    </row>
    <row r="430" spans="1:12" x14ac:dyDescent="0.3">
      <c r="A430" t="s">
        <v>474</v>
      </c>
      <c r="B430" s="1">
        <v>45758</v>
      </c>
      <c r="C430" t="s">
        <v>28</v>
      </c>
      <c r="D430" t="s">
        <v>36</v>
      </c>
      <c r="E430" t="s">
        <v>54</v>
      </c>
      <c r="F430">
        <v>5</v>
      </c>
      <c r="G430">
        <v>7000</v>
      </c>
      <c r="H430">
        <v>33250</v>
      </c>
      <c r="I430">
        <v>0.05</v>
      </c>
      <c r="J430">
        <v>9999.11</v>
      </c>
      <c r="K430" t="s">
        <v>22</v>
      </c>
      <c r="L430" t="s">
        <v>17</v>
      </c>
    </row>
    <row r="431" spans="1:12" x14ac:dyDescent="0.3">
      <c r="A431" t="s">
        <v>475</v>
      </c>
      <c r="B431" s="1">
        <v>45814</v>
      </c>
      <c r="C431" t="s">
        <v>56</v>
      </c>
      <c r="D431" t="s">
        <v>30</v>
      </c>
      <c r="E431" t="s">
        <v>82</v>
      </c>
      <c r="F431">
        <v>1</v>
      </c>
      <c r="G431">
        <v>250</v>
      </c>
      <c r="H431">
        <v>250</v>
      </c>
      <c r="I431">
        <v>0</v>
      </c>
      <c r="J431">
        <v>109.01</v>
      </c>
      <c r="K431" t="s">
        <v>26</v>
      </c>
      <c r="L431" t="s">
        <v>32</v>
      </c>
    </row>
    <row r="432" spans="1:12" x14ac:dyDescent="0.3">
      <c r="A432" t="s">
        <v>476</v>
      </c>
      <c r="B432" s="1">
        <v>45690</v>
      </c>
      <c r="C432" t="s">
        <v>28</v>
      </c>
      <c r="D432" t="s">
        <v>30</v>
      </c>
      <c r="E432" t="s">
        <v>45</v>
      </c>
      <c r="F432">
        <v>3</v>
      </c>
      <c r="G432">
        <v>180</v>
      </c>
      <c r="H432">
        <v>540</v>
      </c>
      <c r="I432">
        <v>0</v>
      </c>
      <c r="J432">
        <v>106.97</v>
      </c>
      <c r="K432" t="s">
        <v>26</v>
      </c>
      <c r="L432" t="s">
        <v>32</v>
      </c>
    </row>
    <row r="433" spans="1:12" x14ac:dyDescent="0.3">
      <c r="A433" t="s">
        <v>477</v>
      </c>
      <c r="B433" s="1">
        <v>45695</v>
      </c>
      <c r="C433" t="s">
        <v>13</v>
      </c>
      <c r="D433" t="s">
        <v>20</v>
      </c>
      <c r="E433" t="s">
        <v>84</v>
      </c>
      <c r="F433">
        <v>4</v>
      </c>
      <c r="G433">
        <v>3200</v>
      </c>
      <c r="H433">
        <v>12800</v>
      </c>
      <c r="I433">
        <v>0</v>
      </c>
      <c r="J433">
        <v>3339.64</v>
      </c>
      <c r="K433" t="s">
        <v>26</v>
      </c>
      <c r="L433" t="s">
        <v>23</v>
      </c>
    </row>
    <row r="434" spans="1:12" x14ac:dyDescent="0.3">
      <c r="A434" t="s">
        <v>478</v>
      </c>
      <c r="B434" s="1">
        <v>45759</v>
      </c>
      <c r="C434" t="s">
        <v>35</v>
      </c>
      <c r="D434" t="s">
        <v>30</v>
      </c>
      <c r="E434" t="s">
        <v>31</v>
      </c>
      <c r="F434">
        <v>6</v>
      </c>
      <c r="G434">
        <v>120</v>
      </c>
      <c r="H434">
        <v>684</v>
      </c>
      <c r="I434">
        <v>0.05</v>
      </c>
      <c r="J434">
        <v>136.08000000000001</v>
      </c>
      <c r="K434" t="s">
        <v>16</v>
      </c>
      <c r="L434" t="s">
        <v>32</v>
      </c>
    </row>
    <row r="435" spans="1:12" x14ac:dyDescent="0.3">
      <c r="A435" t="s">
        <v>479</v>
      </c>
      <c r="B435" s="1">
        <v>45865</v>
      </c>
      <c r="C435" t="s">
        <v>28</v>
      </c>
      <c r="D435" t="s">
        <v>30</v>
      </c>
      <c r="E435" t="s">
        <v>47</v>
      </c>
      <c r="F435">
        <v>10</v>
      </c>
      <c r="G435">
        <v>450</v>
      </c>
      <c r="H435">
        <v>4500</v>
      </c>
      <c r="I435">
        <v>0</v>
      </c>
      <c r="J435">
        <v>-626.73</v>
      </c>
      <c r="K435" t="s">
        <v>22</v>
      </c>
      <c r="L435" t="s">
        <v>17</v>
      </c>
    </row>
    <row r="436" spans="1:12" x14ac:dyDescent="0.3">
      <c r="A436" t="s">
        <v>480</v>
      </c>
      <c r="B436" s="1">
        <v>45729</v>
      </c>
      <c r="C436" t="s">
        <v>35</v>
      </c>
      <c r="D436" t="s">
        <v>30</v>
      </c>
      <c r="E436" t="s">
        <v>47</v>
      </c>
      <c r="F436">
        <v>8</v>
      </c>
      <c r="G436">
        <v>450</v>
      </c>
      <c r="H436">
        <v>3240</v>
      </c>
      <c r="I436">
        <v>0.1</v>
      </c>
      <c r="J436">
        <v>551.47</v>
      </c>
      <c r="K436" t="s">
        <v>16</v>
      </c>
      <c r="L436" t="s">
        <v>17</v>
      </c>
    </row>
    <row r="437" spans="1:12" x14ac:dyDescent="0.3">
      <c r="A437" t="s">
        <v>481</v>
      </c>
      <c r="B437" s="1">
        <v>45969</v>
      </c>
      <c r="C437" t="s">
        <v>13</v>
      </c>
      <c r="D437" t="s">
        <v>30</v>
      </c>
      <c r="E437" t="s">
        <v>45</v>
      </c>
      <c r="F437">
        <v>3</v>
      </c>
      <c r="G437">
        <v>180</v>
      </c>
      <c r="H437">
        <v>540</v>
      </c>
      <c r="I437">
        <v>0</v>
      </c>
      <c r="J437">
        <v>-66.66</v>
      </c>
      <c r="K437" t="s">
        <v>26</v>
      </c>
      <c r="L437" t="s">
        <v>17</v>
      </c>
    </row>
    <row r="438" spans="1:12" x14ac:dyDescent="0.3">
      <c r="A438" t="s">
        <v>482</v>
      </c>
      <c r="B438" s="1">
        <v>45734</v>
      </c>
      <c r="C438" t="s">
        <v>19</v>
      </c>
      <c r="D438" t="s">
        <v>30</v>
      </c>
      <c r="E438" t="s">
        <v>31</v>
      </c>
      <c r="F438">
        <v>1</v>
      </c>
      <c r="G438">
        <v>120</v>
      </c>
      <c r="H438">
        <v>102</v>
      </c>
      <c r="I438">
        <v>0.15</v>
      </c>
      <c r="J438">
        <v>18.62</v>
      </c>
      <c r="K438" t="s">
        <v>16</v>
      </c>
      <c r="L438" t="s">
        <v>23</v>
      </c>
    </row>
    <row r="439" spans="1:12" x14ac:dyDescent="0.3">
      <c r="A439" t="s">
        <v>483</v>
      </c>
      <c r="B439" s="1">
        <v>45849</v>
      </c>
      <c r="C439" t="s">
        <v>28</v>
      </c>
      <c r="D439" t="s">
        <v>36</v>
      </c>
      <c r="E439" t="s">
        <v>54</v>
      </c>
      <c r="F439">
        <v>5</v>
      </c>
      <c r="G439">
        <v>7000</v>
      </c>
      <c r="H439">
        <v>29750</v>
      </c>
      <c r="I439">
        <v>0.15</v>
      </c>
      <c r="J439">
        <v>9415.2999999999993</v>
      </c>
      <c r="K439" t="s">
        <v>26</v>
      </c>
      <c r="L439" t="s">
        <v>17</v>
      </c>
    </row>
    <row r="440" spans="1:12" x14ac:dyDescent="0.3">
      <c r="A440" t="s">
        <v>484</v>
      </c>
      <c r="B440" s="1">
        <v>45942</v>
      </c>
      <c r="C440" t="s">
        <v>19</v>
      </c>
      <c r="D440" t="s">
        <v>36</v>
      </c>
      <c r="E440" t="s">
        <v>37</v>
      </c>
      <c r="F440">
        <v>5</v>
      </c>
      <c r="G440">
        <v>12000</v>
      </c>
      <c r="H440">
        <v>60000</v>
      </c>
      <c r="I440">
        <v>0</v>
      </c>
      <c r="J440">
        <v>13610.29</v>
      </c>
      <c r="K440" t="s">
        <v>16</v>
      </c>
      <c r="L440" t="s">
        <v>23</v>
      </c>
    </row>
    <row r="441" spans="1:12" x14ac:dyDescent="0.3">
      <c r="A441" t="s">
        <v>485</v>
      </c>
      <c r="B441" s="1">
        <v>45923</v>
      </c>
      <c r="C441" t="s">
        <v>13</v>
      </c>
      <c r="D441" t="s">
        <v>20</v>
      </c>
      <c r="E441" t="s">
        <v>97</v>
      </c>
      <c r="F441">
        <v>3</v>
      </c>
      <c r="G441">
        <v>400</v>
      </c>
      <c r="H441">
        <v>1140</v>
      </c>
      <c r="I441">
        <v>0.05</v>
      </c>
      <c r="J441">
        <v>288.13</v>
      </c>
      <c r="K441" t="s">
        <v>16</v>
      </c>
      <c r="L441" t="s">
        <v>32</v>
      </c>
    </row>
    <row r="442" spans="1:12" x14ac:dyDescent="0.3">
      <c r="A442" t="s">
        <v>486</v>
      </c>
      <c r="B442" s="1">
        <v>46000</v>
      </c>
      <c r="C442" t="s">
        <v>35</v>
      </c>
      <c r="D442" t="s">
        <v>14</v>
      </c>
      <c r="E442" t="s">
        <v>51</v>
      </c>
      <c r="F442">
        <v>1</v>
      </c>
      <c r="G442">
        <v>2500</v>
      </c>
      <c r="H442">
        <v>2000</v>
      </c>
      <c r="I442">
        <v>0.2</v>
      </c>
      <c r="J442">
        <v>356.75</v>
      </c>
      <c r="K442" t="s">
        <v>22</v>
      </c>
      <c r="L442" t="s">
        <v>32</v>
      </c>
    </row>
    <row r="443" spans="1:12" x14ac:dyDescent="0.3">
      <c r="A443" t="s">
        <v>487</v>
      </c>
      <c r="B443" s="1">
        <v>45847</v>
      </c>
      <c r="C443" t="s">
        <v>35</v>
      </c>
      <c r="D443" t="s">
        <v>20</v>
      </c>
      <c r="E443" t="s">
        <v>39</v>
      </c>
      <c r="F443">
        <v>10</v>
      </c>
      <c r="G443">
        <v>2800</v>
      </c>
      <c r="H443">
        <v>22400</v>
      </c>
      <c r="I443">
        <v>0.2</v>
      </c>
      <c r="J443">
        <v>2018.28</v>
      </c>
      <c r="K443" t="s">
        <v>26</v>
      </c>
      <c r="L443" t="s">
        <v>17</v>
      </c>
    </row>
    <row r="444" spans="1:12" x14ac:dyDescent="0.3">
      <c r="A444" t="s">
        <v>488</v>
      </c>
      <c r="B444" s="1">
        <v>45870</v>
      </c>
      <c r="C444" t="s">
        <v>28</v>
      </c>
      <c r="D444" t="s">
        <v>36</v>
      </c>
      <c r="E444" t="s">
        <v>37</v>
      </c>
      <c r="F444">
        <v>6</v>
      </c>
      <c r="G444">
        <v>12000</v>
      </c>
      <c r="H444">
        <v>68400</v>
      </c>
      <c r="I444">
        <v>0.05</v>
      </c>
      <c r="J444">
        <v>22065.58</v>
      </c>
      <c r="K444" t="s">
        <v>22</v>
      </c>
      <c r="L444" t="s">
        <v>23</v>
      </c>
    </row>
    <row r="445" spans="1:12" x14ac:dyDescent="0.3">
      <c r="A445" t="s">
        <v>489</v>
      </c>
      <c r="B445" s="1">
        <v>45875</v>
      </c>
      <c r="C445" t="s">
        <v>56</v>
      </c>
      <c r="D445" t="s">
        <v>36</v>
      </c>
      <c r="E445" t="s">
        <v>37</v>
      </c>
      <c r="F445">
        <v>8</v>
      </c>
      <c r="G445">
        <v>12000</v>
      </c>
      <c r="H445">
        <v>91200</v>
      </c>
      <c r="I445">
        <v>0.05</v>
      </c>
      <c r="J445">
        <v>30105.09</v>
      </c>
      <c r="K445" t="s">
        <v>22</v>
      </c>
      <c r="L445" t="s">
        <v>17</v>
      </c>
    </row>
    <row r="446" spans="1:12" x14ac:dyDescent="0.3">
      <c r="A446" t="s">
        <v>490</v>
      </c>
      <c r="B446" s="1">
        <v>45717</v>
      </c>
      <c r="C446" t="s">
        <v>19</v>
      </c>
      <c r="D446" t="s">
        <v>36</v>
      </c>
      <c r="E446" t="s">
        <v>37</v>
      </c>
      <c r="F446">
        <v>6</v>
      </c>
      <c r="G446">
        <v>12000</v>
      </c>
      <c r="H446">
        <v>61200</v>
      </c>
      <c r="I446">
        <v>0.15</v>
      </c>
      <c r="J446">
        <v>17733.66</v>
      </c>
      <c r="K446" t="s">
        <v>22</v>
      </c>
      <c r="L446" t="s">
        <v>23</v>
      </c>
    </row>
    <row r="447" spans="1:12" x14ac:dyDescent="0.3">
      <c r="A447" t="s">
        <v>491</v>
      </c>
      <c r="B447" s="1">
        <v>45742</v>
      </c>
      <c r="C447" t="s">
        <v>13</v>
      </c>
      <c r="D447" t="s">
        <v>36</v>
      </c>
      <c r="E447" t="s">
        <v>37</v>
      </c>
      <c r="F447">
        <v>5</v>
      </c>
      <c r="G447">
        <v>1800</v>
      </c>
      <c r="H447">
        <v>7200</v>
      </c>
      <c r="I447">
        <v>0.2</v>
      </c>
      <c r="J447">
        <v>1327.72</v>
      </c>
      <c r="K447" t="s">
        <v>16</v>
      </c>
      <c r="L447" t="s">
        <v>23</v>
      </c>
    </row>
    <row r="448" spans="1:12" x14ac:dyDescent="0.3">
      <c r="A448" t="s">
        <v>492</v>
      </c>
      <c r="B448" s="1">
        <v>45745</v>
      </c>
      <c r="C448" t="s">
        <v>56</v>
      </c>
      <c r="D448" t="s">
        <v>36</v>
      </c>
      <c r="E448" t="s">
        <v>37</v>
      </c>
      <c r="F448">
        <v>4</v>
      </c>
      <c r="G448">
        <v>1800</v>
      </c>
      <c r="H448">
        <v>7200</v>
      </c>
      <c r="I448">
        <v>0</v>
      </c>
      <c r="J448">
        <v>2154.2600000000002</v>
      </c>
      <c r="K448" t="s">
        <v>22</v>
      </c>
      <c r="L448" t="s">
        <v>32</v>
      </c>
    </row>
    <row r="449" spans="1:12" x14ac:dyDescent="0.3">
      <c r="A449" t="s">
        <v>493</v>
      </c>
      <c r="B449" s="1">
        <v>45943</v>
      </c>
      <c r="C449" t="s">
        <v>56</v>
      </c>
      <c r="D449" t="s">
        <v>36</v>
      </c>
      <c r="E449" t="s">
        <v>91</v>
      </c>
      <c r="F449">
        <v>1</v>
      </c>
      <c r="G449">
        <v>8500</v>
      </c>
      <c r="H449">
        <v>6800</v>
      </c>
      <c r="I449">
        <v>0.2</v>
      </c>
      <c r="J449">
        <v>1771.45</v>
      </c>
      <c r="K449" t="s">
        <v>26</v>
      </c>
      <c r="L449" t="s">
        <v>23</v>
      </c>
    </row>
    <row r="450" spans="1:12" x14ac:dyDescent="0.3">
      <c r="A450" t="s">
        <v>494</v>
      </c>
      <c r="B450" s="1">
        <v>45665</v>
      </c>
      <c r="C450" t="s">
        <v>28</v>
      </c>
      <c r="D450" t="s">
        <v>20</v>
      </c>
      <c r="E450" t="s">
        <v>97</v>
      </c>
      <c r="F450">
        <v>1</v>
      </c>
      <c r="G450">
        <v>400</v>
      </c>
      <c r="H450">
        <v>320</v>
      </c>
      <c r="I450">
        <v>0.2</v>
      </c>
      <c r="J450">
        <v>68.34</v>
      </c>
      <c r="K450" t="s">
        <v>26</v>
      </c>
      <c r="L450" t="s">
        <v>23</v>
      </c>
    </row>
    <row r="451" spans="1:12" x14ac:dyDescent="0.3">
      <c r="A451" t="s">
        <v>495</v>
      </c>
      <c r="B451" s="1">
        <v>45895</v>
      </c>
      <c r="C451" t="s">
        <v>56</v>
      </c>
      <c r="D451" t="s">
        <v>30</v>
      </c>
      <c r="E451" t="s">
        <v>41</v>
      </c>
      <c r="F451">
        <v>8</v>
      </c>
      <c r="G451">
        <v>600</v>
      </c>
      <c r="H451">
        <v>4800</v>
      </c>
      <c r="I451">
        <v>0</v>
      </c>
      <c r="J451">
        <v>1394.34</v>
      </c>
      <c r="K451" t="s">
        <v>22</v>
      </c>
      <c r="L451" t="s">
        <v>32</v>
      </c>
    </row>
    <row r="452" spans="1:12" x14ac:dyDescent="0.3">
      <c r="A452" t="s">
        <v>496</v>
      </c>
      <c r="B452" s="1">
        <v>45807</v>
      </c>
      <c r="C452" t="s">
        <v>35</v>
      </c>
      <c r="D452" t="s">
        <v>14</v>
      </c>
      <c r="E452" t="s">
        <v>25</v>
      </c>
      <c r="F452">
        <v>8</v>
      </c>
      <c r="G452">
        <v>3200</v>
      </c>
      <c r="H452">
        <v>25600</v>
      </c>
      <c r="I452">
        <v>0</v>
      </c>
      <c r="J452">
        <v>6025.53</v>
      </c>
      <c r="K452" t="s">
        <v>16</v>
      </c>
      <c r="L452" t="s">
        <v>17</v>
      </c>
    </row>
    <row r="453" spans="1:12" x14ac:dyDescent="0.3">
      <c r="A453" t="s">
        <v>497</v>
      </c>
      <c r="B453" s="1">
        <v>45929</v>
      </c>
      <c r="C453" t="s">
        <v>35</v>
      </c>
      <c r="D453" t="s">
        <v>36</v>
      </c>
      <c r="E453" t="s">
        <v>54</v>
      </c>
      <c r="F453">
        <v>1</v>
      </c>
      <c r="G453">
        <v>7000</v>
      </c>
      <c r="H453">
        <v>6650</v>
      </c>
      <c r="I453">
        <v>0.05</v>
      </c>
      <c r="J453">
        <v>2776.29</v>
      </c>
      <c r="K453" t="s">
        <v>22</v>
      </c>
      <c r="L453" t="s">
        <v>23</v>
      </c>
    </row>
    <row r="454" spans="1:12" x14ac:dyDescent="0.3">
      <c r="A454" t="s">
        <v>498</v>
      </c>
      <c r="B454" s="1">
        <v>45662</v>
      </c>
      <c r="C454" t="s">
        <v>28</v>
      </c>
      <c r="D454" t="s">
        <v>36</v>
      </c>
      <c r="E454" t="s">
        <v>54</v>
      </c>
      <c r="F454">
        <v>1</v>
      </c>
      <c r="G454">
        <v>7000</v>
      </c>
      <c r="H454">
        <v>6300</v>
      </c>
      <c r="I454">
        <v>0.1</v>
      </c>
      <c r="J454">
        <v>1118.81</v>
      </c>
      <c r="K454" t="s">
        <v>26</v>
      </c>
      <c r="L454" t="s">
        <v>23</v>
      </c>
    </row>
    <row r="455" spans="1:12" x14ac:dyDescent="0.3">
      <c r="A455" t="s">
        <v>499</v>
      </c>
      <c r="B455" s="1">
        <v>45914</v>
      </c>
      <c r="C455" t="s">
        <v>56</v>
      </c>
      <c r="D455" t="s">
        <v>30</v>
      </c>
      <c r="E455" t="s">
        <v>47</v>
      </c>
      <c r="F455">
        <v>4</v>
      </c>
      <c r="G455">
        <v>450</v>
      </c>
      <c r="H455">
        <v>1530</v>
      </c>
      <c r="I455">
        <v>0.15</v>
      </c>
      <c r="J455">
        <v>498.94</v>
      </c>
      <c r="K455" t="s">
        <v>22</v>
      </c>
      <c r="L455" t="s">
        <v>23</v>
      </c>
    </row>
    <row r="456" spans="1:12" x14ac:dyDescent="0.3">
      <c r="A456" t="s">
        <v>500</v>
      </c>
      <c r="B456" s="1">
        <v>45733</v>
      </c>
      <c r="C456" t="s">
        <v>19</v>
      </c>
      <c r="D456" t="s">
        <v>14</v>
      </c>
      <c r="E456" t="s">
        <v>65</v>
      </c>
      <c r="F456">
        <v>1</v>
      </c>
      <c r="G456">
        <v>700</v>
      </c>
      <c r="H456">
        <v>700</v>
      </c>
      <c r="I456">
        <v>0</v>
      </c>
      <c r="J456">
        <v>149.78</v>
      </c>
      <c r="K456" t="s">
        <v>16</v>
      </c>
      <c r="L456" t="s">
        <v>32</v>
      </c>
    </row>
    <row r="457" spans="1:12" x14ac:dyDescent="0.3">
      <c r="A457" t="s">
        <v>501</v>
      </c>
      <c r="B457" s="1">
        <v>45944</v>
      </c>
      <c r="C457" t="s">
        <v>19</v>
      </c>
      <c r="D457" t="s">
        <v>36</v>
      </c>
      <c r="E457" t="s">
        <v>37</v>
      </c>
      <c r="F457">
        <v>10</v>
      </c>
      <c r="G457">
        <v>1800</v>
      </c>
      <c r="H457">
        <v>16200</v>
      </c>
      <c r="I457">
        <v>0.1</v>
      </c>
      <c r="J457">
        <v>2566.25</v>
      </c>
      <c r="K457" t="s">
        <v>26</v>
      </c>
      <c r="L457" t="s">
        <v>23</v>
      </c>
    </row>
    <row r="458" spans="1:12" x14ac:dyDescent="0.3">
      <c r="A458" t="s">
        <v>502</v>
      </c>
      <c r="B458" s="1">
        <v>45934</v>
      </c>
      <c r="C458" t="s">
        <v>13</v>
      </c>
      <c r="D458" t="s">
        <v>36</v>
      </c>
      <c r="E458" t="s">
        <v>37</v>
      </c>
      <c r="F458">
        <v>8</v>
      </c>
      <c r="G458">
        <v>12000</v>
      </c>
      <c r="H458">
        <v>91200</v>
      </c>
      <c r="I458">
        <v>0.05</v>
      </c>
      <c r="J458">
        <v>13028.46</v>
      </c>
      <c r="K458" t="s">
        <v>26</v>
      </c>
      <c r="L458" t="s">
        <v>32</v>
      </c>
    </row>
    <row r="459" spans="1:12" x14ac:dyDescent="0.3">
      <c r="A459" t="s">
        <v>503</v>
      </c>
      <c r="B459" s="1">
        <v>45796</v>
      </c>
      <c r="C459" t="s">
        <v>13</v>
      </c>
      <c r="D459" t="s">
        <v>36</v>
      </c>
      <c r="E459" t="s">
        <v>54</v>
      </c>
      <c r="F459">
        <v>3</v>
      </c>
      <c r="G459">
        <v>7000</v>
      </c>
      <c r="H459">
        <v>19950</v>
      </c>
      <c r="I459">
        <v>0.05</v>
      </c>
      <c r="J459">
        <v>4203.47</v>
      </c>
      <c r="K459" t="s">
        <v>22</v>
      </c>
      <c r="L459" t="s">
        <v>23</v>
      </c>
    </row>
    <row r="460" spans="1:12" x14ac:dyDescent="0.3">
      <c r="A460" t="s">
        <v>504</v>
      </c>
      <c r="B460" s="1">
        <v>45725</v>
      </c>
      <c r="C460" t="s">
        <v>19</v>
      </c>
      <c r="D460" t="s">
        <v>14</v>
      </c>
      <c r="E460" t="s">
        <v>25</v>
      </c>
      <c r="F460">
        <v>8</v>
      </c>
      <c r="G460">
        <v>3200</v>
      </c>
      <c r="H460">
        <v>21760</v>
      </c>
      <c r="I460">
        <v>0.15</v>
      </c>
      <c r="J460">
        <v>1442.44</v>
      </c>
      <c r="K460" t="s">
        <v>22</v>
      </c>
      <c r="L460" t="s">
        <v>23</v>
      </c>
    </row>
    <row r="461" spans="1:12" x14ac:dyDescent="0.3">
      <c r="A461" t="s">
        <v>505</v>
      </c>
      <c r="B461" s="1">
        <v>45846</v>
      </c>
      <c r="C461" t="s">
        <v>19</v>
      </c>
      <c r="D461" t="s">
        <v>30</v>
      </c>
      <c r="E461" t="s">
        <v>45</v>
      </c>
      <c r="F461">
        <v>9</v>
      </c>
      <c r="G461">
        <v>180</v>
      </c>
      <c r="H461">
        <v>1620</v>
      </c>
      <c r="I461">
        <v>0</v>
      </c>
      <c r="J461">
        <v>535.92999999999995</v>
      </c>
      <c r="K461" t="s">
        <v>26</v>
      </c>
      <c r="L461" t="s">
        <v>32</v>
      </c>
    </row>
    <row r="462" spans="1:12" x14ac:dyDescent="0.3">
      <c r="A462" t="s">
        <v>506</v>
      </c>
      <c r="B462" s="1">
        <v>45792</v>
      </c>
      <c r="C462" t="s">
        <v>56</v>
      </c>
      <c r="D462" t="s">
        <v>30</v>
      </c>
      <c r="E462" t="s">
        <v>82</v>
      </c>
      <c r="F462">
        <v>8</v>
      </c>
      <c r="G462">
        <v>250</v>
      </c>
      <c r="H462">
        <v>2000</v>
      </c>
      <c r="I462">
        <v>0</v>
      </c>
      <c r="J462">
        <v>639.44000000000005</v>
      </c>
      <c r="K462" t="s">
        <v>16</v>
      </c>
      <c r="L462" t="s">
        <v>32</v>
      </c>
    </row>
    <row r="463" spans="1:12" x14ac:dyDescent="0.3">
      <c r="A463" t="s">
        <v>507</v>
      </c>
      <c r="B463" s="1">
        <v>45807</v>
      </c>
      <c r="C463" t="s">
        <v>19</v>
      </c>
      <c r="D463" t="s">
        <v>36</v>
      </c>
      <c r="E463" t="s">
        <v>54</v>
      </c>
      <c r="F463">
        <v>1</v>
      </c>
      <c r="G463">
        <v>7000</v>
      </c>
      <c r="H463">
        <v>5950</v>
      </c>
      <c r="I463">
        <v>0.15</v>
      </c>
      <c r="J463">
        <v>368.76</v>
      </c>
      <c r="K463" t="s">
        <v>22</v>
      </c>
      <c r="L463" t="s">
        <v>17</v>
      </c>
    </row>
    <row r="464" spans="1:12" x14ac:dyDescent="0.3">
      <c r="A464" t="s">
        <v>508</v>
      </c>
      <c r="B464" s="1">
        <v>45804</v>
      </c>
      <c r="C464" t="s">
        <v>56</v>
      </c>
      <c r="D464" t="s">
        <v>20</v>
      </c>
      <c r="E464" t="s">
        <v>97</v>
      </c>
      <c r="F464">
        <v>2</v>
      </c>
      <c r="G464">
        <v>400</v>
      </c>
      <c r="H464">
        <v>800</v>
      </c>
      <c r="I464">
        <v>0</v>
      </c>
      <c r="J464">
        <v>317.41000000000003</v>
      </c>
      <c r="K464" t="s">
        <v>26</v>
      </c>
      <c r="L464" t="s">
        <v>32</v>
      </c>
    </row>
    <row r="465" spans="1:12" x14ac:dyDescent="0.3">
      <c r="A465" t="s">
        <v>509</v>
      </c>
      <c r="B465" s="1">
        <v>45890</v>
      </c>
      <c r="C465" t="s">
        <v>35</v>
      </c>
      <c r="D465" t="s">
        <v>30</v>
      </c>
      <c r="E465" t="s">
        <v>31</v>
      </c>
      <c r="F465">
        <v>2</v>
      </c>
      <c r="G465">
        <v>120</v>
      </c>
      <c r="H465">
        <v>216</v>
      </c>
      <c r="I465">
        <v>0.1</v>
      </c>
      <c r="J465">
        <v>43.49</v>
      </c>
      <c r="K465" t="s">
        <v>26</v>
      </c>
      <c r="L465" t="s">
        <v>17</v>
      </c>
    </row>
    <row r="466" spans="1:12" x14ac:dyDescent="0.3">
      <c r="A466" t="s">
        <v>510</v>
      </c>
      <c r="B466" s="1">
        <v>45840</v>
      </c>
      <c r="C466" t="s">
        <v>28</v>
      </c>
      <c r="D466" t="s">
        <v>14</v>
      </c>
      <c r="E466" t="s">
        <v>43</v>
      </c>
      <c r="F466">
        <v>5</v>
      </c>
      <c r="G466">
        <v>65000</v>
      </c>
      <c r="H466">
        <v>308750</v>
      </c>
      <c r="I466">
        <v>0.05</v>
      </c>
      <c r="J466">
        <v>79832.820000000007</v>
      </c>
      <c r="K466" t="s">
        <v>16</v>
      </c>
      <c r="L466" t="s">
        <v>17</v>
      </c>
    </row>
    <row r="467" spans="1:12" x14ac:dyDescent="0.3">
      <c r="A467" t="s">
        <v>511</v>
      </c>
      <c r="B467" s="1">
        <v>45894</v>
      </c>
      <c r="C467" t="s">
        <v>56</v>
      </c>
      <c r="D467" t="s">
        <v>20</v>
      </c>
      <c r="E467" t="s">
        <v>97</v>
      </c>
      <c r="F467">
        <v>2</v>
      </c>
      <c r="G467">
        <v>400</v>
      </c>
      <c r="H467">
        <v>720</v>
      </c>
      <c r="I467">
        <v>0.1</v>
      </c>
      <c r="J467">
        <v>162.72999999999999</v>
      </c>
      <c r="K467" t="s">
        <v>16</v>
      </c>
      <c r="L467" t="s">
        <v>17</v>
      </c>
    </row>
    <row r="468" spans="1:12" x14ac:dyDescent="0.3">
      <c r="A468" t="s">
        <v>512</v>
      </c>
      <c r="B468" s="1">
        <v>45731</v>
      </c>
      <c r="C468" t="s">
        <v>13</v>
      </c>
      <c r="D468" t="s">
        <v>36</v>
      </c>
      <c r="E468" t="s">
        <v>37</v>
      </c>
      <c r="F468">
        <v>5</v>
      </c>
      <c r="G468">
        <v>1800</v>
      </c>
      <c r="H468">
        <v>7650</v>
      </c>
      <c r="I468">
        <v>0.15</v>
      </c>
      <c r="J468">
        <v>1172.3</v>
      </c>
      <c r="K468" t="s">
        <v>26</v>
      </c>
      <c r="L468" t="s">
        <v>17</v>
      </c>
    </row>
    <row r="469" spans="1:12" x14ac:dyDescent="0.3">
      <c r="A469" t="s">
        <v>513</v>
      </c>
      <c r="B469" s="1">
        <v>45911</v>
      </c>
      <c r="C469" t="s">
        <v>56</v>
      </c>
      <c r="D469" t="s">
        <v>20</v>
      </c>
      <c r="E469" t="s">
        <v>39</v>
      </c>
      <c r="F469">
        <v>10</v>
      </c>
      <c r="G469">
        <v>2800</v>
      </c>
      <c r="H469">
        <v>23800</v>
      </c>
      <c r="I469">
        <v>0.15</v>
      </c>
      <c r="J469">
        <v>5775.81</v>
      </c>
      <c r="K469" t="s">
        <v>22</v>
      </c>
      <c r="L469" t="s">
        <v>23</v>
      </c>
    </row>
    <row r="470" spans="1:12" x14ac:dyDescent="0.3">
      <c r="A470" t="s">
        <v>514</v>
      </c>
      <c r="B470" s="1">
        <v>45709</v>
      </c>
      <c r="C470" t="s">
        <v>19</v>
      </c>
      <c r="D470" t="s">
        <v>30</v>
      </c>
      <c r="E470" t="s">
        <v>47</v>
      </c>
      <c r="F470">
        <v>4</v>
      </c>
      <c r="G470">
        <v>450</v>
      </c>
      <c r="H470">
        <v>1440</v>
      </c>
      <c r="I470">
        <v>0.2</v>
      </c>
      <c r="J470">
        <v>385.64</v>
      </c>
      <c r="K470" t="s">
        <v>26</v>
      </c>
      <c r="L470" t="s">
        <v>23</v>
      </c>
    </row>
    <row r="471" spans="1:12" x14ac:dyDescent="0.3">
      <c r="A471" t="s">
        <v>515</v>
      </c>
      <c r="B471" s="1">
        <v>45749</v>
      </c>
      <c r="C471" t="s">
        <v>35</v>
      </c>
      <c r="D471" t="s">
        <v>20</v>
      </c>
      <c r="E471" t="s">
        <v>84</v>
      </c>
      <c r="F471">
        <v>5</v>
      </c>
      <c r="G471">
        <v>3200</v>
      </c>
      <c r="H471">
        <v>12800</v>
      </c>
      <c r="I471">
        <v>0.2</v>
      </c>
      <c r="J471">
        <v>1399.75</v>
      </c>
      <c r="K471" t="s">
        <v>26</v>
      </c>
      <c r="L471" t="s">
        <v>17</v>
      </c>
    </row>
    <row r="472" spans="1:12" x14ac:dyDescent="0.3">
      <c r="A472" t="s">
        <v>516</v>
      </c>
      <c r="B472" s="1">
        <v>46013</v>
      </c>
      <c r="C472" t="s">
        <v>19</v>
      </c>
      <c r="D472" t="s">
        <v>30</v>
      </c>
      <c r="E472" t="s">
        <v>31</v>
      </c>
      <c r="F472">
        <v>6</v>
      </c>
      <c r="G472">
        <v>120</v>
      </c>
      <c r="H472">
        <v>720</v>
      </c>
      <c r="I472">
        <v>0</v>
      </c>
      <c r="J472">
        <v>212.92</v>
      </c>
      <c r="K472" t="s">
        <v>26</v>
      </c>
      <c r="L472" t="s">
        <v>32</v>
      </c>
    </row>
    <row r="473" spans="1:12" x14ac:dyDescent="0.3">
      <c r="A473" t="s">
        <v>517</v>
      </c>
      <c r="B473" s="1">
        <v>45772</v>
      </c>
      <c r="C473" t="s">
        <v>28</v>
      </c>
      <c r="D473" t="s">
        <v>20</v>
      </c>
      <c r="E473" t="s">
        <v>21</v>
      </c>
      <c r="F473">
        <v>9</v>
      </c>
      <c r="G473">
        <v>650</v>
      </c>
      <c r="H473">
        <v>5557.5</v>
      </c>
      <c r="I473">
        <v>0.05</v>
      </c>
      <c r="J473">
        <v>1262.68</v>
      </c>
      <c r="K473" t="s">
        <v>22</v>
      </c>
      <c r="L473" t="s">
        <v>17</v>
      </c>
    </row>
    <row r="474" spans="1:12" x14ac:dyDescent="0.3">
      <c r="A474" t="s">
        <v>518</v>
      </c>
      <c r="B474" s="1">
        <v>45836</v>
      </c>
      <c r="C474" t="s">
        <v>56</v>
      </c>
      <c r="D474" t="s">
        <v>20</v>
      </c>
      <c r="E474" t="s">
        <v>97</v>
      </c>
      <c r="F474">
        <v>2</v>
      </c>
      <c r="G474">
        <v>400</v>
      </c>
      <c r="H474">
        <v>640</v>
      </c>
      <c r="I474">
        <v>0.2</v>
      </c>
      <c r="J474">
        <v>49.7</v>
      </c>
      <c r="K474" t="s">
        <v>16</v>
      </c>
      <c r="L474" t="s">
        <v>23</v>
      </c>
    </row>
    <row r="475" spans="1:12" x14ac:dyDescent="0.3">
      <c r="A475" t="s">
        <v>519</v>
      </c>
      <c r="B475" s="1">
        <v>45754</v>
      </c>
      <c r="C475" t="s">
        <v>19</v>
      </c>
      <c r="D475" t="s">
        <v>20</v>
      </c>
      <c r="E475" t="s">
        <v>39</v>
      </c>
      <c r="F475">
        <v>4</v>
      </c>
      <c r="G475">
        <v>2800</v>
      </c>
      <c r="H475">
        <v>9520</v>
      </c>
      <c r="I475">
        <v>0.15</v>
      </c>
      <c r="J475">
        <v>1973.87</v>
      </c>
      <c r="K475" t="s">
        <v>26</v>
      </c>
      <c r="L475" t="s">
        <v>32</v>
      </c>
    </row>
    <row r="476" spans="1:12" x14ac:dyDescent="0.3">
      <c r="A476" t="s">
        <v>520</v>
      </c>
      <c r="B476" s="1">
        <v>46008</v>
      </c>
      <c r="C476" t="s">
        <v>13</v>
      </c>
      <c r="D476" t="s">
        <v>30</v>
      </c>
      <c r="E476" t="s">
        <v>82</v>
      </c>
      <c r="F476">
        <v>2</v>
      </c>
      <c r="G476">
        <v>250</v>
      </c>
      <c r="H476">
        <v>500</v>
      </c>
      <c r="I476">
        <v>0</v>
      </c>
      <c r="J476">
        <v>129.12</v>
      </c>
      <c r="K476" t="s">
        <v>22</v>
      </c>
      <c r="L476" t="s">
        <v>32</v>
      </c>
    </row>
    <row r="477" spans="1:12" x14ac:dyDescent="0.3">
      <c r="A477" t="s">
        <v>521</v>
      </c>
      <c r="B477" s="1">
        <v>45955</v>
      </c>
      <c r="C477" t="s">
        <v>35</v>
      </c>
      <c r="D477" t="s">
        <v>36</v>
      </c>
      <c r="E477" t="s">
        <v>37</v>
      </c>
      <c r="F477">
        <v>10</v>
      </c>
      <c r="G477">
        <v>12000</v>
      </c>
      <c r="H477">
        <v>108000</v>
      </c>
      <c r="I477">
        <v>0.1</v>
      </c>
      <c r="J477">
        <v>25852.79</v>
      </c>
      <c r="K477" t="s">
        <v>26</v>
      </c>
      <c r="L477" t="s">
        <v>23</v>
      </c>
    </row>
    <row r="478" spans="1:12" x14ac:dyDescent="0.3">
      <c r="A478" t="s">
        <v>522</v>
      </c>
      <c r="B478" s="1">
        <v>46006</v>
      </c>
      <c r="C478" t="s">
        <v>19</v>
      </c>
      <c r="D478" t="s">
        <v>20</v>
      </c>
      <c r="E478" t="s">
        <v>97</v>
      </c>
      <c r="F478">
        <v>6</v>
      </c>
      <c r="G478">
        <v>400</v>
      </c>
      <c r="H478">
        <v>2280</v>
      </c>
      <c r="I478">
        <v>0.05</v>
      </c>
      <c r="J478">
        <v>663.26</v>
      </c>
      <c r="K478" t="s">
        <v>26</v>
      </c>
      <c r="L478" t="s">
        <v>17</v>
      </c>
    </row>
    <row r="479" spans="1:12" x14ac:dyDescent="0.3">
      <c r="A479" t="s">
        <v>523</v>
      </c>
      <c r="B479" s="1">
        <v>45913</v>
      </c>
      <c r="C479" t="s">
        <v>56</v>
      </c>
      <c r="D479" t="s">
        <v>20</v>
      </c>
      <c r="E479" t="s">
        <v>39</v>
      </c>
      <c r="F479">
        <v>2</v>
      </c>
      <c r="G479">
        <v>2800</v>
      </c>
      <c r="H479">
        <v>4760</v>
      </c>
      <c r="I479">
        <v>0.15</v>
      </c>
      <c r="J479">
        <v>1007.16</v>
      </c>
      <c r="K479" t="s">
        <v>22</v>
      </c>
      <c r="L479" t="s">
        <v>32</v>
      </c>
    </row>
    <row r="480" spans="1:12" x14ac:dyDescent="0.3">
      <c r="A480" t="s">
        <v>524</v>
      </c>
      <c r="B480" s="1">
        <v>45759</v>
      </c>
      <c r="C480" t="s">
        <v>19</v>
      </c>
      <c r="D480" t="s">
        <v>30</v>
      </c>
      <c r="E480" t="s">
        <v>31</v>
      </c>
      <c r="F480">
        <v>3</v>
      </c>
      <c r="G480">
        <v>120</v>
      </c>
      <c r="H480">
        <v>306</v>
      </c>
      <c r="I480">
        <v>0.15</v>
      </c>
      <c r="J480">
        <v>50.74</v>
      </c>
      <c r="K480" t="s">
        <v>22</v>
      </c>
      <c r="L480" t="s">
        <v>23</v>
      </c>
    </row>
    <row r="481" spans="1:12" x14ac:dyDescent="0.3">
      <c r="A481" t="s">
        <v>525</v>
      </c>
      <c r="B481" s="1">
        <v>45854</v>
      </c>
      <c r="C481" t="s">
        <v>19</v>
      </c>
      <c r="D481" t="s">
        <v>20</v>
      </c>
      <c r="E481" t="s">
        <v>21</v>
      </c>
      <c r="F481">
        <v>9</v>
      </c>
      <c r="G481">
        <v>650</v>
      </c>
      <c r="H481">
        <v>5265</v>
      </c>
      <c r="I481">
        <v>0.1</v>
      </c>
      <c r="J481">
        <v>1597.18</v>
      </c>
      <c r="K481" t="s">
        <v>16</v>
      </c>
      <c r="L481" t="s">
        <v>32</v>
      </c>
    </row>
    <row r="482" spans="1:12" x14ac:dyDescent="0.3">
      <c r="A482" t="s">
        <v>526</v>
      </c>
      <c r="B482" s="1">
        <v>45969</v>
      </c>
      <c r="C482" t="s">
        <v>13</v>
      </c>
      <c r="D482" t="s">
        <v>14</v>
      </c>
      <c r="E482" t="s">
        <v>43</v>
      </c>
      <c r="F482">
        <v>9</v>
      </c>
      <c r="G482">
        <v>65000</v>
      </c>
      <c r="H482">
        <v>555750</v>
      </c>
      <c r="I482">
        <v>0.05</v>
      </c>
      <c r="J482">
        <v>203306.78</v>
      </c>
      <c r="K482" t="s">
        <v>16</v>
      </c>
      <c r="L482" t="s">
        <v>32</v>
      </c>
    </row>
    <row r="483" spans="1:12" x14ac:dyDescent="0.3">
      <c r="A483" t="s">
        <v>527</v>
      </c>
      <c r="B483" s="1">
        <v>45896</v>
      </c>
      <c r="C483" t="s">
        <v>13</v>
      </c>
      <c r="D483" t="s">
        <v>14</v>
      </c>
      <c r="E483" t="s">
        <v>51</v>
      </c>
      <c r="F483">
        <v>2</v>
      </c>
      <c r="G483">
        <v>2500</v>
      </c>
      <c r="H483">
        <v>4000</v>
      </c>
      <c r="I483">
        <v>0.2</v>
      </c>
      <c r="J483">
        <v>-91.57</v>
      </c>
      <c r="K483" t="s">
        <v>16</v>
      </c>
      <c r="L483" t="s">
        <v>32</v>
      </c>
    </row>
    <row r="484" spans="1:12" x14ac:dyDescent="0.3">
      <c r="A484" t="s">
        <v>528</v>
      </c>
      <c r="B484" s="1">
        <v>45678</v>
      </c>
      <c r="C484" t="s">
        <v>19</v>
      </c>
      <c r="D484" t="s">
        <v>14</v>
      </c>
      <c r="E484" t="s">
        <v>25</v>
      </c>
      <c r="F484">
        <v>6</v>
      </c>
      <c r="G484">
        <v>3200</v>
      </c>
      <c r="H484">
        <v>19200</v>
      </c>
      <c r="I484">
        <v>0</v>
      </c>
      <c r="J484">
        <v>8138.87</v>
      </c>
      <c r="K484" t="s">
        <v>26</v>
      </c>
      <c r="L484" t="s">
        <v>32</v>
      </c>
    </row>
    <row r="485" spans="1:12" x14ac:dyDescent="0.3">
      <c r="A485" t="s">
        <v>529</v>
      </c>
      <c r="B485" s="1">
        <v>45682</v>
      </c>
      <c r="C485" t="s">
        <v>56</v>
      </c>
      <c r="D485" t="s">
        <v>20</v>
      </c>
      <c r="E485" t="s">
        <v>21</v>
      </c>
      <c r="F485">
        <v>6</v>
      </c>
      <c r="G485">
        <v>650</v>
      </c>
      <c r="H485">
        <v>3120</v>
      </c>
      <c r="I485">
        <v>0.2</v>
      </c>
      <c r="J485">
        <v>208.14</v>
      </c>
      <c r="K485" t="s">
        <v>26</v>
      </c>
      <c r="L485" t="s">
        <v>23</v>
      </c>
    </row>
    <row r="486" spans="1:12" x14ac:dyDescent="0.3">
      <c r="A486" t="s">
        <v>530</v>
      </c>
      <c r="B486" s="1">
        <v>45753</v>
      </c>
      <c r="C486" t="s">
        <v>35</v>
      </c>
      <c r="D486" t="s">
        <v>36</v>
      </c>
      <c r="E486" t="s">
        <v>37</v>
      </c>
      <c r="F486">
        <v>4</v>
      </c>
      <c r="G486">
        <v>12000</v>
      </c>
      <c r="H486">
        <v>45600</v>
      </c>
      <c r="I486">
        <v>0.05</v>
      </c>
      <c r="J486">
        <v>15128.78</v>
      </c>
      <c r="K486" t="s">
        <v>22</v>
      </c>
      <c r="L486" t="s">
        <v>32</v>
      </c>
    </row>
    <row r="487" spans="1:12" x14ac:dyDescent="0.3">
      <c r="A487" t="s">
        <v>531</v>
      </c>
      <c r="B487" s="1">
        <v>45682</v>
      </c>
      <c r="C487" t="s">
        <v>13</v>
      </c>
      <c r="D487" t="s">
        <v>36</v>
      </c>
      <c r="E487" t="s">
        <v>91</v>
      </c>
      <c r="F487">
        <v>3</v>
      </c>
      <c r="G487">
        <v>8500</v>
      </c>
      <c r="H487">
        <v>25500</v>
      </c>
      <c r="I487">
        <v>0</v>
      </c>
      <c r="J487">
        <v>10536.52</v>
      </c>
      <c r="K487" t="s">
        <v>26</v>
      </c>
      <c r="L487" t="s">
        <v>23</v>
      </c>
    </row>
    <row r="488" spans="1:12" x14ac:dyDescent="0.3">
      <c r="A488" t="s">
        <v>532</v>
      </c>
      <c r="B488" s="1">
        <v>45901</v>
      </c>
      <c r="C488" t="s">
        <v>28</v>
      </c>
      <c r="D488" t="s">
        <v>14</v>
      </c>
      <c r="E488" t="s">
        <v>65</v>
      </c>
      <c r="F488">
        <v>5</v>
      </c>
      <c r="G488">
        <v>700</v>
      </c>
      <c r="H488">
        <v>3500</v>
      </c>
      <c r="I488">
        <v>0</v>
      </c>
      <c r="J488">
        <v>1154.82</v>
      </c>
      <c r="K488" t="s">
        <v>16</v>
      </c>
      <c r="L488" t="s">
        <v>32</v>
      </c>
    </row>
    <row r="489" spans="1:12" x14ac:dyDescent="0.3">
      <c r="A489" t="s">
        <v>533</v>
      </c>
      <c r="B489" s="1">
        <v>45700</v>
      </c>
      <c r="C489" t="s">
        <v>28</v>
      </c>
      <c r="D489" t="s">
        <v>30</v>
      </c>
      <c r="E489" t="s">
        <v>45</v>
      </c>
      <c r="F489">
        <v>3</v>
      </c>
      <c r="G489">
        <v>180</v>
      </c>
      <c r="H489">
        <v>540</v>
      </c>
      <c r="I489">
        <v>0</v>
      </c>
      <c r="J489">
        <v>157.44</v>
      </c>
      <c r="K489" t="s">
        <v>22</v>
      </c>
      <c r="L489" t="s">
        <v>17</v>
      </c>
    </row>
    <row r="490" spans="1:12" x14ac:dyDescent="0.3">
      <c r="A490" t="s">
        <v>534</v>
      </c>
      <c r="B490" s="1">
        <v>45840</v>
      </c>
      <c r="C490" t="s">
        <v>35</v>
      </c>
      <c r="D490" t="s">
        <v>20</v>
      </c>
      <c r="E490" t="s">
        <v>84</v>
      </c>
      <c r="F490">
        <v>2</v>
      </c>
      <c r="G490">
        <v>3200</v>
      </c>
      <c r="H490">
        <v>6400</v>
      </c>
      <c r="I490">
        <v>0</v>
      </c>
      <c r="J490">
        <v>2411.35</v>
      </c>
      <c r="K490" t="s">
        <v>26</v>
      </c>
      <c r="L490" t="s">
        <v>23</v>
      </c>
    </row>
    <row r="491" spans="1:12" x14ac:dyDescent="0.3">
      <c r="A491" t="s">
        <v>535</v>
      </c>
      <c r="B491" s="1">
        <v>45905</v>
      </c>
      <c r="C491" t="s">
        <v>35</v>
      </c>
      <c r="D491" t="s">
        <v>20</v>
      </c>
      <c r="E491" t="s">
        <v>97</v>
      </c>
      <c r="F491">
        <v>5</v>
      </c>
      <c r="G491">
        <v>400</v>
      </c>
      <c r="H491">
        <v>1600</v>
      </c>
      <c r="I491">
        <v>0.2</v>
      </c>
      <c r="J491">
        <v>231.49</v>
      </c>
      <c r="K491" t="s">
        <v>16</v>
      </c>
      <c r="L491" t="s">
        <v>32</v>
      </c>
    </row>
    <row r="492" spans="1:12" x14ac:dyDescent="0.3">
      <c r="A492" t="s">
        <v>536</v>
      </c>
      <c r="B492" s="1">
        <v>45681</v>
      </c>
      <c r="C492" t="s">
        <v>56</v>
      </c>
      <c r="D492" t="s">
        <v>30</v>
      </c>
      <c r="E492" t="s">
        <v>45</v>
      </c>
      <c r="F492">
        <v>7</v>
      </c>
      <c r="G492">
        <v>180</v>
      </c>
      <c r="H492">
        <v>1008</v>
      </c>
      <c r="I492">
        <v>0.2</v>
      </c>
      <c r="J492">
        <v>41.67</v>
      </c>
      <c r="K492" t="s">
        <v>22</v>
      </c>
      <c r="L492" t="s">
        <v>23</v>
      </c>
    </row>
    <row r="493" spans="1:12" x14ac:dyDescent="0.3">
      <c r="A493" t="s">
        <v>537</v>
      </c>
      <c r="B493" s="1">
        <v>45717</v>
      </c>
      <c r="C493" t="s">
        <v>19</v>
      </c>
      <c r="D493" t="s">
        <v>20</v>
      </c>
      <c r="E493" t="s">
        <v>21</v>
      </c>
      <c r="F493">
        <v>3</v>
      </c>
      <c r="G493">
        <v>650</v>
      </c>
      <c r="H493">
        <v>1560</v>
      </c>
      <c r="I493">
        <v>0.2</v>
      </c>
      <c r="J493">
        <v>297.27999999999997</v>
      </c>
      <c r="K493" t="s">
        <v>22</v>
      </c>
      <c r="L493" t="s">
        <v>23</v>
      </c>
    </row>
    <row r="494" spans="1:12" x14ac:dyDescent="0.3">
      <c r="A494" t="s">
        <v>538</v>
      </c>
      <c r="B494" s="1">
        <v>45734</v>
      </c>
      <c r="C494" t="s">
        <v>19</v>
      </c>
      <c r="D494" t="s">
        <v>30</v>
      </c>
      <c r="E494" t="s">
        <v>31</v>
      </c>
      <c r="F494">
        <v>8</v>
      </c>
      <c r="G494">
        <v>120</v>
      </c>
      <c r="H494">
        <v>912</v>
      </c>
      <c r="I494">
        <v>0.05</v>
      </c>
      <c r="J494">
        <v>269.22000000000003</v>
      </c>
      <c r="K494" t="s">
        <v>22</v>
      </c>
      <c r="L494" t="s">
        <v>17</v>
      </c>
    </row>
    <row r="495" spans="1:12" x14ac:dyDescent="0.3">
      <c r="A495" t="s">
        <v>539</v>
      </c>
      <c r="B495" s="1">
        <v>45998</v>
      </c>
      <c r="C495" t="s">
        <v>13</v>
      </c>
      <c r="D495" t="s">
        <v>20</v>
      </c>
      <c r="E495" t="s">
        <v>21</v>
      </c>
      <c r="F495">
        <v>8</v>
      </c>
      <c r="G495">
        <v>650</v>
      </c>
      <c r="H495">
        <v>4940</v>
      </c>
      <c r="I495">
        <v>0.05</v>
      </c>
      <c r="J495">
        <v>1616.71</v>
      </c>
      <c r="K495" t="s">
        <v>26</v>
      </c>
      <c r="L495" t="s">
        <v>23</v>
      </c>
    </row>
    <row r="496" spans="1:12" x14ac:dyDescent="0.3">
      <c r="A496" t="s">
        <v>540</v>
      </c>
      <c r="B496" s="1">
        <v>45883</v>
      </c>
      <c r="C496" t="s">
        <v>35</v>
      </c>
      <c r="D496" t="s">
        <v>36</v>
      </c>
      <c r="E496" t="s">
        <v>37</v>
      </c>
      <c r="F496">
        <v>1</v>
      </c>
      <c r="G496">
        <v>12000</v>
      </c>
      <c r="H496">
        <v>11400</v>
      </c>
      <c r="I496">
        <v>0.05</v>
      </c>
      <c r="J496">
        <v>3228.25</v>
      </c>
      <c r="K496" t="s">
        <v>26</v>
      </c>
      <c r="L496" t="s">
        <v>17</v>
      </c>
    </row>
    <row r="497" spans="1:12" x14ac:dyDescent="0.3">
      <c r="A497" t="s">
        <v>541</v>
      </c>
      <c r="B497" s="1">
        <v>45787</v>
      </c>
      <c r="C497" t="s">
        <v>35</v>
      </c>
      <c r="D497" t="s">
        <v>14</v>
      </c>
      <c r="E497" t="s">
        <v>105</v>
      </c>
      <c r="F497">
        <v>10</v>
      </c>
      <c r="G497">
        <v>14000</v>
      </c>
      <c r="H497">
        <v>119000</v>
      </c>
      <c r="I497">
        <v>0.15</v>
      </c>
      <c r="J497">
        <v>17057.68</v>
      </c>
      <c r="K497" t="s">
        <v>22</v>
      </c>
      <c r="L497" t="s">
        <v>23</v>
      </c>
    </row>
    <row r="498" spans="1:12" x14ac:dyDescent="0.3">
      <c r="A498" t="s">
        <v>542</v>
      </c>
      <c r="B498" s="1">
        <v>45818</v>
      </c>
      <c r="C498" t="s">
        <v>28</v>
      </c>
      <c r="D498" t="s">
        <v>20</v>
      </c>
      <c r="E498" t="s">
        <v>21</v>
      </c>
      <c r="F498">
        <v>4</v>
      </c>
      <c r="G498">
        <v>650</v>
      </c>
      <c r="H498">
        <v>2340</v>
      </c>
      <c r="I498">
        <v>0.1</v>
      </c>
      <c r="J498">
        <v>414.63</v>
      </c>
      <c r="K498" t="s">
        <v>22</v>
      </c>
      <c r="L498" t="s">
        <v>23</v>
      </c>
    </row>
    <row r="499" spans="1:12" x14ac:dyDescent="0.3">
      <c r="A499" t="s">
        <v>543</v>
      </c>
      <c r="B499" s="1">
        <v>45751</v>
      </c>
      <c r="C499" t="s">
        <v>28</v>
      </c>
      <c r="D499" t="s">
        <v>36</v>
      </c>
      <c r="E499" t="s">
        <v>37</v>
      </c>
      <c r="F499">
        <v>8</v>
      </c>
      <c r="G499">
        <v>1800</v>
      </c>
      <c r="H499">
        <v>14400</v>
      </c>
      <c r="I499">
        <v>0</v>
      </c>
      <c r="J499">
        <v>6309.91</v>
      </c>
      <c r="K499" t="s">
        <v>26</v>
      </c>
      <c r="L499" t="s">
        <v>17</v>
      </c>
    </row>
    <row r="500" spans="1:12" x14ac:dyDescent="0.3">
      <c r="A500" t="s">
        <v>544</v>
      </c>
      <c r="B500" s="1">
        <v>46001</v>
      </c>
      <c r="C500" t="s">
        <v>56</v>
      </c>
      <c r="D500" t="s">
        <v>30</v>
      </c>
      <c r="E500" t="s">
        <v>31</v>
      </c>
      <c r="F500">
        <v>1</v>
      </c>
      <c r="G500">
        <v>120</v>
      </c>
      <c r="H500">
        <v>120</v>
      </c>
      <c r="I500">
        <v>0</v>
      </c>
      <c r="J500">
        <v>32.07</v>
      </c>
      <c r="K500" t="s">
        <v>26</v>
      </c>
      <c r="L500" t="s">
        <v>32</v>
      </c>
    </row>
    <row r="501" spans="1:12" x14ac:dyDescent="0.3">
      <c r="A501" t="s">
        <v>545</v>
      </c>
      <c r="B501" s="1">
        <v>45725</v>
      </c>
      <c r="C501" t="s">
        <v>56</v>
      </c>
      <c r="D501" t="s">
        <v>30</v>
      </c>
      <c r="E501" t="s">
        <v>47</v>
      </c>
      <c r="F501">
        <v>7</v>
      </c>
      <c r="G501">
        <v>450</v>
      </c>
      <c r="H501">
        <v>2677.5</v>
      </c>
      <c r="I501">
        <v>0.15</v>
      </c>
      <c r="J501">
        <v>744.6</v>
      </c>
      <c r="K501" t="s">
        <v>16</v>
      </c>
      <c r="L501" t="s">
        <v>32</v>
      </c>
    </row>
    <row r="502" spans="1:12" x14ac:dyDescent="0.3">
      <c r="A502" t="s">
        <v>546</v>
      </c>
      <c r="B502" s="1">
        <v>45679</v>
      </c>
      <c r="C502" t="s">
        <v>56</v>
      </c>
      <c r="D502" t="s">
        <v>14</v>
      </c>
      <c r="E502" t="s">
        <v>25</v>
      </c>
      <c r="F502">
        <v>2</v>
      </c>
      <c r="G502">
        <v>3200</v>
      </c>
      <c r="H502">
        <v>5120</v>
      </c>
      <c r="I502">
        <v>0.2</v>
      </c>
      <c r="J502">
        <v>-16.89</v>
      </c>
      <c r="K502" t="s">
        <v>26</v>
      </c>
      <c r="L502" t="s">
        <v>17</v>
      </c>
    </row>
    <row r="503" spans="1:12" x14ac:dyDescent="0.3">
      <c r="A503" t="s">
        <v>547</v>
      </c>
      <c r="B503" s="1">
        <v>45809</v>
      </c>
      <c r="C503" t="s">
        <v>28</v>
      </c>
      <c r="D503" t="s">
        <v>30</v>
      </c>
      <c r="E503" t="s">
        <v>82</v>
      </c>
      <c r="F503">
        <v>1</v>
      </c>
      <c r="G503">
        <v>250</v>
      </c>
      <c r="H503">
        <v>212.5</v>
      </c>
      <c r="I503">
        <v>0.15</v>
      </c>
      <c r="J503">
        <v>-26.63</v>
      </c>
      <c r="K503" t="s">
        <v>22</v>
      </c>
      <c r="L503" t="s">
        <v>32</v>
      </c>
    </row>
    <row r="504" spans="1:12" x14ac:dyDescent="0.3">
      <c r="A504" t="s">
        <v>548</v>
      </c>
      <c r="B504" s="1">
        <v>45818</v>
      </c>
      <c r="C504" t="s">
        <v>28</v>
      </c>
      <c r="D504" t="s">
        <v>30</v>
      </c>
      <c r="E504" t="s">
        <v>82</v>
      </c>
      <c r="F504">
        <v>7</v>
      </c>
      <c r="G504">
        <v>250</v>
      </c>
      <c r="H504">
        <v>1750</v>
      </c>
      <c r="I504">
        <v>0</v>
      </c>
      <c r="J504">
        <v>406.32</v>
      </c>
      <c r="K504" t="s">
        <v>16</v>
      </c>
      <c r="L504" t="s">
        <v>32</v>
      </c>
    </row>
    <row r="505" spans="1:12" x14ac:dyDescent="0.3">
      <c r="A505" t="s">
        <v>549</v>
      </c>
      <c r="B505" s="1">
        <v>45687</v>
      </c>
      <c r="C505" t="s">
        <v>35</v>
      </c>
      <c r="D505" t="s">
        <v>14</v>
      </c>
      <c r="E505" t="s">
        <v>51</v>
      </c>
      <c r="F505">
        <v>1</v>
      </c>
      <c r="G505">
        <v>2500</v>
      </c>
      <c r="H505">
        <v>2250</v>
      </c>
      <c r="I505">
        <v>0.1</v>
      </c>
      <c r="J505">
        <v>479.99</v>
      </c>
      <c r="K505" t="s">
        <v>22</v>
      </c>
      <c r="L505" t="s">
        <v>23</v>
      </c>
    </row>
    <row r="506" spans="1:12" x14ac:dyDescent="0.3">
      <c r="A506" t="s">
        <v>550</v>
      </c>
      <c r="B506" s="1">
        <v>45896</v>
      </c>
      <c r="C506" t="s">
        <v>19</v>
      </c>
      <c r="D506" t="s">
        <v>30</v>
      </c>
      <c r="E506" t="s">
        <v>82</v>
      </c>
      <c r="F506">
        <v>1</v>
      </c>
      <c r="G506">
        <v>250</v>
      </c>
      <c r="H506">
        <v>225</v>
      </c>
      <c r="I506">
        <v>0.1</v>
      </c>
      <c r="J506">
        <v>81.099999999999994</v>
      </c>
      <c r="K506" t="s">
        <v>22</v>
      </c>
      <c r="L506" t="s">
        <v>17</v>
      </c>
    </row>
    <row r="507" spans="1:12" x14ac:dyDescent="0.3">
      <c r="A507" t="s">
        <v>551</v>
      </c>
      <c r="B507" s="1">
        <v>45796</v>
      </c>
      <c r="C507" t="s">
        <v>56</v>
      </c>
      <c r="D507" t="s">
        <v>30</v>
      </c>
      <c r="E507" t="s">
        <v>41</v>
      </c>
      <c r="F507">
        <v>1</v>
      </c>
      <c r="G507">
        <v>600</v>
      </c>
      <c r="H507">
        <v>540</v>
      </c>
      <c r="I507">
        <v>0.1</v>
      </c>
      <c r="J507">
        <v>194.5</v>
      </c>
      <c r="K507" t="s">
        <v>22</v>
      </c>
      <c r="L507" t="s">
        <v>23</v>
      </c>
    </row>
    <row r="508" spans="1:12" x14ac:dyDescent="0.3">
      <c r="A508" t="s">
        <v>552</v>
      </c>
      <c r="B508" s="1">
        <v>45715</v>
      </c>
      <c r="C508" t="s">
        <v>19</v>
      </c>
      <c r="D508" t="s">
        <v>20</v>
      </c>
      <c r="E508" t="s">
        <v>21</v>
      </c>
      <c r="F508">
        <v>7</v>
      </c>
      <c r="G508">
        <v>650</v>
      </c>
      <c r="H508">
        <v>4550</v>
      </c>
      <c r="I508">
        <v>0</v>
      </c>
      <c r="J508">
        <v>1198.5</v>
      </c>
      <c r="K508" t="s">
        <v>26</v>
      </c>
      <c r="L508" t="s">
        <v>17</v>
      </c>
    </row>
    <row r="509" spans="1:12" x14ac:dyDescent="0.3">
      <c r="A509" t="s">
        <v>553</v>
      </c>
      <c r="B509" s="1">
        <v>45866</v>
      </c>
      <c r="C509" t="s">
        <v>19</v>
      </c>
      <c r="D509" t="s">
        <v>14</v>
      </c>
      <c r="E509" t="s">
        <v>105</v>
      </c>
      <c r="F509">
        <v>7</v>
      </c>
      <c r="G509">
        <v>14000</v>
      </c>
      <c r="H509">
        <v>98000</v>
      </c>
      <c r="I509">
        <v>0</v>
      </c>
      <c r="J509">
        <v>19968.240000000002</v>
      </c>
      <c r="K509" t="s">
        <v>22</v>
      </c>
      <c r="L509" t="s">
        <v>32</v>
      </c>
    </row>
    <row r="510" spans="1:12" x14ac:dyDescent="0.3">
      <c r="A510" t="s">
        <v>554</v>
      </c>
      <c r="B510" s="1">
        <v>45885</v>
      </c>
      <c r="C510" t="s">
        <v>35</v>
      </c>
      <c r="D510" t="s">
        <v>20</v>
      </c>
      <c r="E510" t="s">
        <v>97</v>
      </c>
      <c r="F510">
        <v>3</v>
      </c>
      <c r="G510">
        <v>400</v>
      </c>
      <c r="H510">
        <v>1200</v>
      </c>
      <c r="I510">
        <v>0</v>
      </c>
      <c r="J510">
        <v>-236.29</v>
      </c>
      <c r="K510" t="s">
        <v>16</v>
      </c>
      <c r="L510" t="s">
        <v>23</v>
      </c>
    </row>
    <row r="511" spans="1:12" x14ac:dyDescent="0.3">
      <c r="A511" t="s">
        <v>555</v>
      </c>
      <c r="B511" s="1">
        <v>45830</v>
      </c>
      <c r="C511" t="s">
        <v>19</v>
      </c>
      <c r="D511" t="s">
        <v>36</v>
      </c>
      <c r="E511" t="s">
        <v>54</v>
      </c>
      <c r="F511">
        <v>3</v>
      </c>
      <c r="G511">
        <v>7000</v>
      </c>
      <c r="H511">
        <v>21000</v>
      </c>
      <c r="I511">
        <v>0</v>
      </c>
      <c r="J511">
        <v>-1789.3</v>
      </c>
      <c r="K511" t="s">
        <v>26</v>
      </c>
      <c r="L511" t="s">
        <v>32</v>
      </c>
    </row>
    <row r="512" spans="1:12" x14ac:dyDescent="0.3">
      <c r="A512" t="s">
        <v>556</v>
      </c>
      <c r="B512" s="1">
        <v>45850</v>
      </c>
      <c r="C512" t="s">
        <v>56</v>
      </c>
      <c r="D512" t="s">
        <v>14</v>
      </c>
      <c r="E512" t="s">
        <v>43</v>
      </c>
      <c r="F512">
        <v>2</v>
      </c>
      <c r="G512">
        <v>65000</v>
      </c>
      <c r="H512">
        <v>130000</v>
      </c>
      <c r="I512">
        <v>0</v>
      </c>
      <c r="J512">
        <v>46098.63</v>
      </c>
      <c r="K512" t="s">
        <v>26</v>
      </c>
      <c r="L512" t="s">
        <v>17</v>
      </c>
    </row>
    <row r="513" spans="1:12" x14ac:dyDescent="0.3">
      <c r="A513" t="s">
        <v>557</v>
      </c>
      <c r="B513" s="1">
        <v>45940</v>
      </c>
      <c r="C513" t="s">
        <v>28</v>
      </c>
      <c r="D513" t="s">
        <v>36</v>
      </c>
      <c r="E513" t="s">
        <v>54</v>
      </c>
      <c r="F513">
        <v>5</v>
      </c>
      <c r="G513">
        <v>7000</v>
      </c>
      <c r="H513">
        <v>35000</v>
      </c>
      <c r="I513">
        <v>0</v>
      </c>
      <c r="J513">
        <v>-1898.95</v>
      </c>
      <c r="K513" t="s">
        <v>22</v>
      </c>
      <c r="L513" t="s">
        <v>32</v>
      </c>
    </row>
    <row r="514" spans="1:12" x14ac:dyDescent="0.3">
      <c r="A514" t="s">
        <v>558</v>
      </c>
      <c r="B514" s="1">
        <v>45676</v>
      </c>
      <c r="C514" t="s">
        <v>35</v>
      </c>
      <c r="D514" t="s">
        <v>36</v>
      </c>
      <c r="E514" t="s">
        <v>37</v>
      </c>
      <c r="F514">
        <v>2</v>
      </c>
      <c r="G514">
        <v>12000</v>
      </c>
      <c r="H514">
        <v>20400</v>
      </c>
      <c r="I514">
        <v>0.15</v>
      </c>
      <c r="J514">
        <v>2224.12</v>
      </c>
      <c r="K514" t="s">
        <v>16</v>
      </c>
      <c r="L514" t="s">
        <v>23</v>
      </c>
    </row>
    <row r="515" spans="1:12" x14ac:dyDescent="0.3">
      <c r="A515" t="s">
        <v>559</v>
      </c>
      <c r="B515" s="1">
        <v>45958</v>
      </c>
      <c r="C515" t="s">
        <v>35</v>
      </c>
      <c r="D515" t="s">
        <v>30</v>
      </c>
      <c r="E515" t="s">
        <v>31</v>
      </c>
      <c r="F515">
        <v>2</v>
      </c>
      <c r="G515">
        <v>120</v>
      </c>
      <c r="H515">
        <v>204</v>
      </c>
      <c r="I515">
        <v>0.15</v>
      </c>
      <c r="J515">
        <v>41.11</v>
      </c>
      <c r="K515" t="s">
        <v>22</v>
      </c>
      <c r="L515" t="s">
        <v>32</v>
      </c>
    </row>
    <row r="516" spans="1:12" x14ac:dyDescent="0.3">
      <c r="A516" t="s">
        <v>560</v>
      </c>
      <c r="B516" s="1">
        <v>45956</v>
      </c>
      <c r="C516" t="s">
        <v>28</v>
      </c>
      <c r="D516" t="s">
        <v>30</v>
      </c>
      <c r="E516" t="s">
        <v>31</v>
      </c>
      <c r="F516">
        <v>1</v>
      </c>
      <c r="G516">
        <v>120</v>
      </c>
      <c r="H516">
        <v>96</v>
      </c>
      <c r="I516">
        <v>0.2</v>
      </c>
      <c r="J516">
        <v>9.86</v>
      </c>
      <c r="K516" t="s">
        <v>16</v>
      </c>
      <c r="L516" t="s">
        <v>32</v>
      </c>
    </row>
    <row r="517" spans="1:12" x14ac:dyDescent="0.3">
      <c r="A517" t="s">
        <v>561</v>
      </c>
      <c r="B517" s="1">
        <v>45672</v>
      </c>
      <c r="C517" t="s">
        <v>56</v>
      </c>
      <c r="D517" t="s">
        <v>20</v>
      </c>
      <c r="E517" t="s">
        <v>21</v>
      </c>
      <c r="F517">
        <v>8</v>
      </c>
      <c r="G517">
        <v>650</v>
      </c>
      <c r="H517">
        <v>4680</v>
      </c>
      <c r="I517">
        <v>0.1</v>
      </c>
      <c r="J517">
        <v>1497.61</v>
      </c>
      <c r="K517" t="s">
        <v>26</v>
      </c>
      <c r="L517" t="s">
        <v>23</v>
      </c>
    </row>
    <row r="518" spans="1:12" x14ac:dyDescent="0.3">
      <c r="A518" t="s">
        <v>562</v>
      </c>
      <c r="B518" s="1">
        <v>45968</v>
      </c>
      <c r="C518" t="s">
        <v>28</v>
      </c>
      <c r="D518" t="s">
        <v>20</v>
      </c>
      <c r="E518" t="s">
        <v>39</v>
      </c>
      <c r="F518">
        <v>9</v>
      </c>
      <c r="G518">
        <v>2800</v>
      </c>
      <c r="H518">
        <v>22680</v>
      </c>
      <c r="I518">
        <v>0.1</v>
      </c>
      <c r="J518">
        <v>4594.87</v>
      </c>
      <c r="K518" t="s">
        <v>26</v>
      </c>
      <c r="L518" t="s">
        <v>23</v>
      </c>
    </row>
    <row r="519" spans="1:12" x14ac:dyDescent="0.3">
      <c r="A519" t="s">
        <v>563</v>
      </c>
      <c r="B519" s="1">
        <v>45813</v>
      </c>
      <c r="C519" t="s">
        <v>56</v>
      </c>
      <c r="D519" t="s">
        <v>30</v>
      </c>
      <c r="E519" t="s">
        <v>45</v>
      </c>
      <c r="F519">
        <v>1</v>
      </c>
      <c r="G519">
        <v>180</v>
      </c>
      <c r="H519">
        <v>153</v>
      </c>
      <c r="I519">
        <v>0.15</v>
      </c>
      <c r="J519">
        <v>36.07</v>
      </c>
      <c r="K519" t="s">
        <v>16</v>
      </c>
      <c r="L519" t="s">
        <v>17</v>
      </c>
    </row>
    <row r="520" spans="1:12" x14ac:dyDescent="0.3">
      <c r="A520" t="s">
        <v>564</v>
      </c>
      <c r="B520" s="1">
        <v>45994</v>
      </c>
      <c r="C520" t="s">
        <v>28</v>
      </c>
      <c r="D520" t="s">
        <v>30</v>
      </c>
      <c r="E520" t="s">
        <v>82</v>
      </c>
      <c r="F520">
        <v>8</v>
      </c>
      <c r="G520">
        <v>250</v>
      </c>
      <c r="H520">
        <v>1900</v>
      </c>
      <c r="I520">
        <v>0.05</v>
      </c>
      <c r="J520">
        <v>763.83</v>
      </c>
      <c r="K520" t="s">
        <v>26</v>
      </c>
      <c r="L520" t="s">
        <v>32</v>
      </c>
    </row>
    <row r="521" spans="1:12" x14ac:dyDescent="0.3">
      <c r="A521" t="s">
        <v>565</v>
      </c>
      <c r="B521" s="1">
        <v>45912</v>
      </c>
      <c r="C521" t="s">
        <v>56</v>
      </c>
      <c r="D521" t="s">
        <v>14</v>
      </c>
      <c r="E521" t="s">
        <v>105</v>
      </c>
      <c r="F521">
        <v>4</v>
      </c>
      <c r="G521">
        <v>14000</v>
      </c>
      <c r="H521">
        <v>44800</v>
      </c>
      <c r="I521">
        <v>0.2</v>
      </c>
      <c r="J521">
        <v>4775.51</v>
      </c>
      <c r="K521" t="s">
        <v>22</v>
      </c>
      <c r="L521" t="s">
        <v>23</v>
      </c>
    </row>
    <row r="522" spans="1:12" x14ac:dyDescent="0.3">
      <c r="A522" t="s">
        <v>566</v>
      </c>
      <c r="B522" s="1">
        <v>45761</v>
      </c>
      <c r="C522" t="s">
        <v>13</v>
      </c>
      <c r="D522" t="s">
        <v>20</v>
      </c>
      <c r="E522" t="s">
        <v>97</v>
      </c>
      <c r="F522">
        <v>5</v>
      </c>
      <c r="G522">
        <v>400</v>
      </c>
      <c r="H522">
        <v>1800</v>
      </c>
      <c r="I522">
        <v>0.1</v>
      </c>
      <c r="J522">
        <v>605.29</v>
      </c>
      <c r="K522" t="s">
        <v>26</v>
      </c>
      <c r="L522" t="s">
        <v>17</v>
      </c>
    </row>
    <row r="523" spans="1:12" x14ac:dyDescent="0.3">
      <c r="A523" t="s">
        <v>567</v>
      </c>
      <c r="B523" s="1">
        <v>45987</v>
      </c>
      <c r="C523" t="s">
        <v>56</v>
      </c>
      <c r="D523" t="s">
        <v>14</v>
      </c>
      <c r="E523" t="s">
        <v>65</v>
      </c>
      <c r="F523">
        <v>1</v>
      </c>
      <c r="G523">
        <v>700</v>
      </c>
      <c r="H523">
        <v>595</v>
      </c>
      <c r="I523">
        <v>0.15</v>
      </c>
      <c r="J523">
        <v>35.270000000000003</v>
      </c>
      <c r="K523" t="s">
        <v>16</v>
      </c>
      <c r="L523" t="s">
        <v>17</v>
      </c>
    </row>
    <row r="524" spans="1:12" x14ac:dyDescent="0.3">
      <c r="A524" t="s">
        <v>568</v>
      </c>
      <c r="B524" s="1">
        <v>45823</v>
      </c>
      <c r="C524" t="s">
        <v>13</v>
      </c>
      <c r="D524" t="s">
        <v>36</v>
      </c>
      <c r="E524" t="s">
        <v>37</v>
      </c>
      <c r="F524">
        <v>6</v>
      </c>
      <c r="G524">
        <v>12000</v>
      </c>
      <c r="H524">
        <v>57600</v>
      </c>
      <c r="I524">
        <v>0.2</v>
      </c>
      <c r="J524">
        <v>3152.54</v>
      </c>
      <c r="K524" t="s">
        <v>22</v>
      </c>
      <c r="L524" t="s">
        <v>23</v>
      </c>
    </row>
    <row r="525" spans="1:12" x14ac:dyDescent="0.3">
      <c r="A525" t="s">
        <v>569</v>
      </c>
      <c r="B525" s="1">
        <v>45992</v>
      </c>
      <c r="C525" t="s">
        <v>35</v>
      </c>
      <c r="D525" t="s">
        <v>20</v>
      </c>
      <c r="E525" t="s">
        <v>39</v>
      </c>
      <c r="F525">
        <v>10</v>
      </c>
      <c r="G525">
        <v>2800</v>
      </c>
      <c r="H525">
        <v>26600</v>
      </c>
      <c r="I525">
        <v>0.05</v>
      </c>
      <c r="J525">
        <v>10122.83</v>
      </c>
      <c r="K525" t="s">
        <v>26</v>
      </c>
      <c r="L525" t="s">
        <v>23</v>
      </c>
    </row>
    <row r="526" spans="1:12" x14ac:dyDescent="0.3">
      <c r="A526" t="s">
        <v>570</v>
      </c>
      <c r="B526" s="1">
        <v>45833</v>
      </c>
      <c r="C526" t="s">
        <v>56</v>
      </c>
      <c r="D526" t="s">
        <v>20</v>
      </c>
      <c r="E526" t="s">
        <v>97</v>
      </c>
      <c r="F526">
        <v>10</v>
      </c>
      <c r="G526">
        <v>400</v>
      </c>
      <c r="H526">
        <v>4000</v>
      </c>
      <c r="I526">
        <v>0</v>
      </c>
      <c r="J526">
        <v>936.45</v>
      </c>
      <c r="K526" t="s">
        <v>16</v>
      </c>
      <c r="L526" t="s">
        <v>17</v>
      </c>
    </row>
    <row r="527" spans="1:12" x14ac:dyDescent="0.3">
      <c r="A527" t="s">
        <v>571</v>
      </c>
      <c r="B527" s="1">
        <v>46000</v>
      </c>
      <c r="C527" t="s">
        <v>56</v>
      </c>
      <c r="D527" t="s">
        <v>36</v>
      </c>
      <c r="E527" t="s">
        <v>54</v>
      </c>
      <c r="F527">
        <v>2</v>
      </c>
      <c r="G527">
        <v>7000</v>
      </c>
      <c r="H527">
        <v>12600</v>
      </c>
      <c r="I527">
        <v>0.1</v>
      </c>
      <c r="J527">
        <v>2369.62</v>
      </c>
      <c r="K527" t="s">
        <v>16</v>
      </c>
      <c r="L527" t="s">
        <v>32</v>
      </c>
    </row>
    <row r="528" spans="1:12" x14ac:dyDescent="0.3">
      <c r="A528" t="s">
        <v>572</v>
      </c>
      <c r="B528" s="1">
        <v>45928</v>
      </c>
      <c r="C528" t="s">
        <v>19</v>
      </c>
      <c r="D528" t="s">
        <v>30</v>
      </c>
      <c r="E528" t="s">
        <v>41</v>
      </c>
      <c r="F528">
        <v>8</v>
      </c>
      <c r="G528">
        <v>600</v>
      </c>
      <c r="H528">
        <v>4080</v>
      </c>
      <c r="I528">
        <v>0.15</v>
      </c>
      <c r="J528">
        <v>420.98</v>
      </c>
      <c r="K528" t="s">
        <v>16</v>
      </c>
      <c r="L528" t="s">
        <v>23</v>
      </c>
    </row>
    <row r="529" spans="1:12" x14ac:dyDescent="0.3">
      <c r="A529" t="s">
        <v>573</v>
      </c>
      <c r="B529" s="1">
        <v>45680</v>
      </c>
      <c r="C529" t="s">
        <v>19</v>
      </c>
      <c r="D529" t="s">
        <v>14</v>
      </c>
      <c r="E529" t="s">
        <v>15</v>
      </c>
      <c r="F529">
        <v>3</v>
      </c>
      <c r="G529">
        <v>1200</v>
      </c>
      <c r="H529">
        <v>3600</v>
      </c>
      <c r="I529">
        <v>0</v>
      </c>
      <c r="J529">
        <v>1270.1199999999999</v>
      </c>
      <c r="K529" t="s">
        <v>22</v>
      </c>
      <c r="L529" t="s">
        <v>32</v>
      </c>
    </row>
    <row r="530" spans="1:12" x14ac:dyDescent="0.3">
      <c r="A530" t="s">
        <v>574</v>
      </c>
      <c r="B530" s="1">
        <v>45714</v>
      </c>
      <c r="C530" t="s">
        <v>19</v>
      </c>
      <c r="D530" t="s">
        <v>20</v>
      </c>
      <c r="E530" t="s">
        <v>97</v>
      </c>
      <c r="F530">
        <v>5</v>
      </c>
      <c r="G530">
        <v>400</v>
      </c>
      <c r="H530">
        <v>1700</v>
      </c>
      <c r="I530">
        <v>0.15</v>
      </c>
      <c r="J530">
        <v>94.22</v>
      </c>
      <c r="K530" t="s">
        <v>16</v>
      </c>
      <c r="L530" t="s">
        <v>17</v>
      </c>
    </row>
    <row r="531" spans="1:12" x14ac:dyDescent="0.3">
      <c r="A531" t="s">
        <v>575</v>
      </c>
      <c r="B531" s="1">
        <v>45685</v>
      </c>
      <c r="C531" t="s">
        <v>28</v>
      </c>
      <c r="D531" t="s">
        <v>30</v>
      </c>
      <c r="E531" t="s">
        <v>31</v>
      </c>
      <c r="F531">
        <v>6</v>
      </c>
      <c r="G531">
        <v>120</v>
      </c>
      <c r="H531">
        <v>684</v>
      </c>
      <c r="I531">
        <v>0.05</v>
      </c>
      <c r="J531">
        <v>99.03</v>
      </c>
      <c r="K531" t="s">
        <v>22</v>
      </c>
      <c r="L531" t="s">
        <v>32</v>
      </c>
    </row>
    <row r="532" spans="1:12" x14ac:dyDescent="0.3">
      <c r="A532" t="s">
        <v>576</v>
      </c>
      <c r="B532" s="1">
        <v>45861</v>
      </c>
      <c r="C532" t="s">
        <v>13</v>
      </c>
      <c r="D532" t="s">
        <v>36</v>
      </c>
      <c r="E532" t="s">
        <v>37</v>
      </c>
      <c r="F532">
        <v>9</v>
      </c>
      <c r="G532">
        <v>12000</v>
      </c>
      <c r="H532">
        <v>108000</v>
      </c>
      <c r="I532">
        <v>0</v>
      </c>
      <c r="J532">
        <v>43456.55</v>
      </c>
      <c r="K532" t="s">
        <v>26</v>
      </c>
      <c r="L532" t="s">
        <v>23</v>
      </c>
    </row>
    <row r="533" spans="1:12" x14ac:dyDescent="0.3">
      <c r="A533" t="s">
        <v>577</v>
      </c>
      <c r="B533" s="1">
        <v>45727</v>
      </c>
      <c r="C533" t="s">
        <v>28</v>
      </c>
      <c r="D533" t="s">
        <v>20</v>
      </c>
      <c r="E533" t="s">
        <v>21</v>
      </c>
      <c r="F533">
        <v>4</v>
      </c>
      <c r="G533">
        <v>650</v>
      </c>
      <c r="H533">
        <v>2340</v>
      </c>
      <c r="I533">
        <v>0.1</v>
      </c>
      <c r="J533">
        <v>488.52</v>
      </c>
      <c r="K533" t="s">
        <v>16</v>
      </c>
      <c r="L533" t="s">
        <v>23</v>
      </c>
    </row>
    <row r="534" spans="1:12" x14ac:dyDescent="0.3">
      <c r="A534" t="s">
        <v>578</v>
      </c>
      <c r="B534" s="1">
        <v>45881</v>
      </c>
      <c r="C534" t="s">
        <v>19</v>
      </c>
      <c r="D534" t="s">
        <v>36</v>
      </c>
      <c r="E534" t="s">
        <v>91</v>
      </c>
      <c r="F534">
        <v>8</v>
      </c>
      <c r="G534">
        <v>8500</v>
      </c>
      <c r="H534">
        <v>68000</v>
      </c>
      <c r="I534">
        <v>0</v>
      </c>
      <c r="J534">
        <v>15332.17</v>
      </c>
      <c r="K534" t="s">
        <v>26</v>
      </c>
      <c r="L534" t="s">
        <v>17</v>
      </c>
    </row>
    <row r="535" spans="1:12" x14ac:dyDescent="0.3">
      <c r="A535" t="s">
        <v>579</v>
      </c>
      <c r="B535" s="1">
        <v>45986</v>
      </c>
      <c r="C535" t="s">
        <v>90</v>
      </c>
      <c r="D535" t="s">
        <v>30</v>
      </c>
      <c r="E535" t="s">
        <v>47</v>
      </c>
      <c r="F535">
        <v>10</v>
      </c>
      <c r="G535">
        <v>450</v>
      </c>
      <c r="H535">
        <v>4275</v>
      </c>
      <c r="I535">
        <v>0.05</v>
      </c>
      <c r="J535">
        <v>1109.5899999999999</v>
      </c>
      <c r="K535" t="s">
        <v>26</v>
      </c>
      <c r="L535" t="s">
        <v>17</v>
      </c>
    </row>
    <row r="536" spans="1:12" x14ac:dyDescent="0.3">
      <c r="A536" t="s">
        <v>580</v>
      </c>
      <c r="B536" s="1">
        <v>45831</v>
      </c>
      <c r="C536" t="s">
        <v>35</v>
      </c>
      <c r="D536" t="s">
        <v>14</v>
      </c>
      <c r="E536" t="s">
        <v>15</v>
      </c>
      <c r="F536">
        <v>9</v>
      </c>
      <c r="G536">
        <v>1200</v>
      </c>
      <c r="H536">
        <v>9180</v>
      </c>
      <c r="I536">
        <v>0.15</v>
      </c>
      <c r="J536">
        <v>976.51</v>
      </c>
      <c r="K536" t="s">
        <v>26</v>
      </c>
      <c r="L536" t="s">
        <v>17</v>
      </c>
    </row>
    <row r="537" spans="1:12" x14ac:dyDescent="0.3">
      <c r="A537" t="s">
        <v>581</v>
      </c>
      <c r="B537" s="1">
        <v>45679</v>
      </c>
      <c r="C537" t="s">
        <v>56</v>
      </c>
      <c r="D537" t="s">
        <v>36</v>
      </c>
      <c r="E537" t="s">
        <v>37</v>
      </c>
      <c r="F537">
        <v>5</v>
      </c>
      <c r="G537">
        <v>12000</v>
      </c>
      <c r="H537">
        <v>48000</v>
      </c>
      <c r="I537">
        <v>0.2</v>
      </c>
      <c r="J537">
        <v>-1191.43</v>
      </c>
      <c r="K537" t="s">
        <v>22</v>
      </c>
      <c r="L537" t="s">
        <v>32</v>
      </c>
    </row>
    <row r="538" spans="1:12" x14ac:dyDescent="0.3">
      <c r="A538" t="s">
        <v>582</v>
      </c>
      <c r="B538" s="1">
        <v>45676</v>
      </c>
      <c r="C538" t="s">
        <v>19</v>
      </c>
      <c r="D538" t="s">
        <v>14</v>
      </c>
      <c r="E538" t="s">
        <v>51</v>
      </c>
      <c r="F538">
        <v>4</v>
      </c>
      <c r="G538">
        <v>2500</v>
      </c>
      <c r="H538">
        <v>10000</v>
      </c>
      <c r="I538">
        <v>0</v>
      </c>
      <c r="J538">
        <v>4201.84</v>
      </c>
      <c r="K538" t="s">
        <v>16</v>
      </c>
      <c r="L538" t="s">
        <v>32</v>
      </c>
    </row>
    <row r="539" spans="1:12" x14ac:dyDescent="0.3">
      <c r="A539" t="s">
        <v>583</v>
      </c>
      <c r="B539" s="1">
        <v>45814</v>
      </c>
      <c r="C539" t="s">
        <v>19</v>
      </c>
      <c r="D539" t="s">
        <v>36</v>
      </c>
      <c r="E539" t="s">
        <v>37</v>
      </c>
      <c r="F539">
        <v>2</v>
      </c>
      <c r="G539">
        <v>1800</v>
      </c>
      <c r="H539">
        <v>2880</v>
      </c>
      <c r="I539">
        <v>0.2</v>
      </c>
      <c r="J539">
        <v>12.2</v>
      </c>
      <c r="K539" t="s">
        <v>26</v>
      </c>
      <c r="L539" t="s">
        <v>17</v>
      </c>
    </row>
    <row r="540" spans="1:12" x14ac:dyDescent="0.3">
      <c r="A540" t="s">
        <v>584</v>
      </c>
      <c r="B540" s="1">
        <v>45952</v>
      </c>
      <c r="C540" t="s">
        <v>19</v>
      </c>
      <c r="D540" t="s">
        <v>14</v>
      </c>
      <c r="E540" t="s">
        <v>15</v>
      </c>
      <c r="F540">
        <v>4</v>
      </c>
      <c r="G540">
        <v>1200</v>
      </c>
      <c r="H540">
        <v>4800</v>
      </c>
      <c r="I540">
        <v>0</v>
      </c>
      <c r="J540">
        <v>1855.49</v>
      </c>
      <c r="K540" t="s">
        <v>26</v>
      </c>
      <c r="L540" t="s">
        <v>23</v>
      </c>
    </row>
    <row r="541" spans="1:12" x14ac:dyDescent="0.3">
      <c r="A541" t="s">
        <v>585</v>
      </c>
      <c r="B541" s="1">
        <v>45988</v>
      </c>
      <c r="C541" t="s">
        <v>13</v>
      </c>
      <c r="D541" t="s">
        <v>30</v>
      </c>
      <c r="E541" t="s">
        <v>47</v>
      </c>
      <c r="F541">
        <v>8</v>
      </c>
      <c r="G541">
        <v>450</v>
      </c>
      <c r="H541">
        <v>3060</v>
      </c>
      <c r="I541">
        <v>0.15</v>
      </c>
      <c r="J541">
        <v>213.24</v>
      </c>
      <c r="K541" t="s">
        <v>26</v>
      </c>
      <c r="L541" t="s">
        <v>23</v>
      </c>
    </row>
    <row r="542" spans="1:12" x14ac:dyDescent="0.3">
      <c r="A542" t="s">
        <v>586</v>
      </c>
      <c r="B542" s="1">
        <v>45769</v>
      </c>
      <c r="C542" t="s">
        <v>13</v>
      </c>
      <c r="D542" t="s">
        <v>36</v>
      </c>
      <c r="E542" t="s">
        <v>37</v>
      </c>
      <c r="F542">
        <v>3</v>
      </c>
      <c r="G542">
        <v>1800</v>
      </c>
      <c r="H542">
        <v>5400</v>
      </c>
      <c r="I542">
        <v>0</v>
      </c>
      <c r="J542">
        <v>1674.82</v>
      </c>
      <c r="K542" t="s">
        <v>26</v>
      </c>
      <c r="L542" t="s">
        <v>32</v>
      </c>
    </row>
    <row r="543" spans="1:12" x14ac:dyDescent="0.3">
      <c r="A543" t="s">
        <v>587</v>
      </c>
      <c r="B543" s="1">
        <v>45803</v>
      </c>
      <c r="C543" t="s">
        <v>13</v>
      </c>
      <c r="D543" t="s">
        <v>30</v>
      </c>
      <c r="E543" t="s">
        <v>31</v>
      </c>
      <c r="F543">
        <v>9</v>
      </c>
      <c r="G543">
        <v>120</v>
      </c>
      <c r="H543">
        <v>972</v>
      </c>
      <c r="I543">
        <v>0.1</v>
      </c>
      <c r="J543">
        <v>346.32</v>
      </c>
      <c r="K543" t="s">
        <v>26</v>
      </c>
      <c r="L543" t="s">
        <v>17</v>
      </c>
    </row>
    <row r="544" spans="1:12" x14ac:dyDescent="0.3">
      <c r="A544" t="s">
        <v>588</v>
      </c>
      <c r="B544" s="1">
        <v>45709</v>
      </c>
      <c r="C544" t="s">
        <v>56</v>
      </c>
      <c r="D544" t="s">
        <v>30</v>
      </c>
      <c r="E544" t="s">
        <v>47</v>
      </c>
      <c r="F544">
        <v>1</v>
      </c>
      <c r="G544">
        <v>450</v>
      </c>
      <c r="H544">
        <v>405</v>
      </c>
      <c r="I544">
        <v>0.1</v>
      </c>
      <c r="J544">
        <v>78.91</v>
      </c>
      <c r="K544" t="s">
        <v>22</v>
      </c>
      <c r="L544" t="s">
        <v>17</v>
      </c>
    </row>
    <row r="545" spans="1:12" x14ac:dyDescent="0.3">
      <c r="A545" t="s">
        <v>589</v>
      </c>
      <c r="B545" s="1">
        <v>45684</v>
      </c>
      <c r="C545" t="s">
        <v>56</v>
      </c>
      <c r="D545" t="s">
        <v>30</v>
      </c>
      <c r="E545" t="s">
        <v>41</v>
      </c>
      <c r="F545">
        <v>2</v>
      </c>
      <c r="G545">
        <v>600</v>
      </c>
      <c r="H545">
        <v>960</v>
      </c>
      <c r="I545">
        <v>0.2</v>
      </c>
      <c r="J545">
        <v>224.25</v>
      </c>
      <c r="K545" t="s">
        <v>22</v>
      </c>
      <c r="L545" t="s">
        <v>32</v>
      </c>
    </row>
    <row r="546" spans="1:12" x14ac:dyDescent="0.3">
      <c r="A546" t="s">
        <v>590</v>
      </c>
      <c r="B546" s="1">
        <v>46004</v>
      </c>
      <c r="C546" t="s">
        <v>56</v>
      </c>
      <c r="D546" t="s">
        <v>30</v>
      </c>
      <c r="E546" t="s">
        <v>41</v>
      </c>
      <c r="F546">
        <v>4</v>
      </c>
      <c r="G546">
        <v>600</v>
      </c>
      <c r="H546">
        <v>2280</v>
      </c>
      <c r="I546">
        <v>0.05</v>
      </c>
      <c r="J546">
        <v>603.59</v>
      </c>
      <c r="K546" t="s">
        <v>16</v>
      </c>
      <c r="L546" t="s">
        <v>23</v>
      </c>
    </row>
    <row r="547" spans="1:12" x14ac:dyDescent="0.3">
      <c r="A547" t="s">
        <v>591</v>
      </c>
      <c r="B547" s="1">
        <v>46020</v>
      </c>
      <c r="C547" t="s">
        <v>56</v>
      </c>
      <c r="D547" t="s">
        <v>20</v>
      </c>
      <c r="E547" t="s">
        <v>39</v>
      </c>
      <c r="F547">
        <v>10</v>
      </c>
      <c r="G547">
        <v>2800</v>
      </c>
      <c r="H547">
        <v>23800</v>
      </c>
      <c r="I547">
        <v>0.15</v>
      </c>
      <c r="J547">
        <v>5730.9</v>
      </c>
      <c r="K547" t="s">
        <v>16</v>
      </c>
      <c r="L547" t="s">
        <v>32</v>
      </c>
    </row>
    <row r="548" spans="1:12" x14ac:dyDescent="0.3">
      <c r="A548" t="s">
        <v>592</v>
      </c>
      <c r="B548" s="1">
        <v>45976</v>
      </c>
      <c r="C548" t="s">
        <v>35</v>
      </c>
      <c r="D548" t="s">
        <v>14</v>
      </c>
      <c r="E548" t="s">
        <v>43</v>
      </c>
      <c r="F548">
        <v>10</v>
      </c>
      <c r="G548">
        <v>65000</v>
      </c>
      <c r="H548">
        <v>585000</v>
      </c>
      <c r="I548">
        <v>0.1</v>
      </c>
      <c r="J548">
        <v>114096.22</v>
      </c>
      <c r="K548" t="s">
        <v>16</v>
      </c>
      <c r="L548" t="s">
        <v>32</v>
      </c>
    </row>
    <row r="549" spans="1:12" x14ac:dyDescent="0.3">
      <c r="A549" t="s">
        <v>593</v>
      </c>
      <c r="B549" s="1">
        <v>45854</v>
      </c>
      <c r="C549" t="s">
        <v>19</v>
      </c>
      <c r="D549" t="s">
        <v>30</v>
      </c>
      <c r="E549" t="s">
        <v>47</v>
      </c>
      <c r="F549">
        <v>6</v>
      </c>
      <c r="G549">
        <v>450</v>
      </c>
      <c r="H549">
        <v>2430</v>
      </c>
      <c r="I549">
        <v>0.1</v>
      </c>
      <c r="J549">
        <v>697.47</v>
      </c>
      <c r="K549" t="s">
        <v>16</v>
      </c>
      <c r="L549" t="s">
        <v>32</v>
      </c>
    </row>
    <row r="550" spans="1:12" x14ac:dyDescent="0.3">
      <c r="A550" t="s">
        <v>594</v>
      </c>
      <c r="B550" s="1">
        <v>45950</v>
      </c>
      <c r="C550" t="s">
        <v>28</v>
      </c>
      <c r="D550" t="s">
        <v>36</v>
      </c>
      <c r="E550" t="s">
        <v>54</v>
      </c>
      <c r="F550">
        <v>6</v>
      </c>
      <c r="G550">
        <v>7000</v>
      </c>
      <c r="H550">
        <v>39900</v>
      </c>
      <c r="I550">
        <v>0.05</v>
      </c>
      <c r="J550">
        <v>7726.13</v>
      </c>
      <c r="K550" t="s">
        <v>16</v>
      </c>
      <c r="L550" t="s">
        <v>23</v>
      </c>
    </row>
    <row r="551" spans="1:12" x14ac:dyDescent="0.3">
      <c r="A551" t="s">
        <v>595</v>
      </c>
      <c r="B551" s="1">
        <v>45913</v>
      </c>
      <c r="C551" t="s">
        <v>19</v>
      </c>
      <c r="D551" t="s">
        <v>36</v>
      </c>
      <c r="E551" t="s">
        <v>54</v>
      </c>
      <c r="F551">
        <v>6</v>
      </c>
      <c r="G551">
        <v>7000</v>
      </c>
      <c r="H551">
        <v>37800</v>
      </c>
      <c r="I551">
        <v>0.1</v>
      </c>
      <c r="J551">
        <v>12064.63</v>
      </c>
      <c r="K551" t="s">
        <v>16</v>
      </c>
      <c r="L551" t="s">
        <v>23</v>
      </c>
    </row>
    <row r="552" spans="1:12" x14ac:dyDescent="0.3">
      <c r="A552" t="s">
        <v>596</v>
      </c>
      <c r="B552" s="1">
        <v>45964</v>
      </c>
      <c r="C552" t="s">
        <v>13</v>
      </c>
      <c r="D552" t="s">
        <v>36</v>
      </c>
      <c r="E552" t="s">
        <v>91</v>
      </c>
      <c r="F552">
        <v>4</v>
      </c>
      <c r="G552">
        <v>8500</v>
      </c>
      <c r="H552">
        <v>34000</v>
      </c>
      <c r="I552">
        <v>0</v>
      </c>
      <c r="J552">
        <v>10401.23</v>
      </c>
      <c r="K552" t="s">
        <v>16</v>
      </c>
      <c r="L552" t="s">
        <v>23</v>
      </c>
    </row>
    <row r="553" spans="1:12" x14ac:dyDescent="0.3">
      <c r="A553" t="s">
        <v>597</v>
      </c>
      <c r="B553" s="1">
        <v>45715</v>
      </c>
      <c r="C553" t="s">
        <v>35</v>
      </c>
      <c r="D553" t="s">
        <v>14</v>
      </c>
      <c r="E553" t="s">
        <v>105</v>
      </c>
      <c r="F553">
        <v>2</v>
      </c>
      <c r="G553">
        <v>14000</v>
      </c>
      <c r="H553">
        <v>28000</v>
      </c>
      <c r="I553">
        <v>0</v>
      </c>
      <c r="J553">
        <v>5964.71</v>
      </c>
      <c r="K553" t="s">
        <v>22</v>
      </c>
      <c r="L553" t="s">
        <v>23</v>
      </c>
    </row>
    <row r="554" spans="1:12" x14ac:dyDescent="0.3">
      <c r="A554" t="s">
        <v>598</v>
      </c>
      <c r="B554" s="1">
        <v>45796</v>
      </c>
      <c r="C554" t="s">
        <v>56</v>
      </c>
      <c r="D554" t="s">
        <v>20</v>
      </c>
      <c r="E554" t="s">
        <v>84</v>
      </c>
      <c r="F554">
        <v>4</v>
      </c>
      <c r="G554">
        <v>3200</v>
      </c>
      <c r="H554">
        <v>10880</v>
      </c>
      <c r="I554">
        <v>0.15</v>
      </c>
      <c r="J554">
        <v>2418.85</v>
      </c>
      <c r="K554" t="s">
        <v>22</v>
      </c>
      <c r="L554" t="s">
        <v>23</v>
      </c>
    </row>
    <row r="555" spans="1:12" x14ac:dyDescent="0.3">
      <c r="A555" t="s">
        <v>599</v>
      </c>
      <c r="B555" s="1">
        <v>45691</v>
      </c>
      <c r="C555" t="s">
        <v>35</v>
      </c>
      <c r="D555" t="s">
        <v>14</v>
      </c>
      <c r="E555" t="s">
        <v>43</v>
      </c>
      <c r="F555">
        <v>7</v>
      </c>
      <c r="G555">
        <v>65000</v>
      </c>
      <c r="H555">
        <v>364000</v>
      </c>
      <c r="I555">
        <v>0.2</v>
      </c>
      <c r="J555">
        <v>-749.67</v>
      </c>
      <c r="K555" t="s">
        <v>16</v>
      </c>
      <c r="L555" t="s">
        <v>23</v>
      </c>
    </row>
    <row r="556" spans="1:12" x14ac:dyDescent="0.3">
      <c r="A556" t="s">
        <v>600</v>
      </c>
      <c r="B556" s="1">
        <v>45659</v>
      </c>
      <c r="C556" t="s">
        <v>28</v>
      </c>
      <c r="D556" t="s">
        <v>36</v>
      </c>
      <c r="E556" t="s">
        <v>54</v>
      </c>
      <c r="F556">
        <v>5</v>
      </c>
      <c r="G556">
        <v>7000</v>
      </c>
      <c r="H556">
        <v>35000</v>
      </c>
      <c r="I556">
        <v>0</v>
      </c>
      <c r="J556">
        <v>8024.95</v>
      </c>
      <c r="K556" t="s">
        <v>26</v>
      </c>
      <c r="L556" t="s">
        <v>17</v>
      </c>
    </row>
    <row r="557" spans="1:12" x14ac:dyDescent="0.3">
      <c r="A557" t="s">
        <v>601</v>
      </c>
      <c r="B557" s="1">
        <v>45679</v>
      </c>
      <c r="C557" t="s">
        <v>19</v>
      </c>
      <c r="D557" t="s">
        <v>36</v>
      </c>
      <c r="E557" t="s">
        <v>54</v>
      </c>
      <c r="F557">
        <v>7</v>
      </c>
      <c r="G557">
        <v>7000</v>
      </c>
      <c r="H557">
        <v>39200</v>
      </c>
      <c r="I557">
        <v>0.2</v>
      </c>
      <c r="J557">
        <v>-142.57</v>
      </c>
      <c r="K557" t="s">
        <v>26</v>
      </c>
      <c r="L557" t="s">
        <v>23</v>
      </c>
    </row>
    <row r="558" spans="1:12" x14ac:dyDescent="0.3">
      <c r="A558" t="s">
        <v>602</v>
      </c>
      <c r="B558" s="1">
        <v>46011</v>
      </c>
      <c r="C558" t="s">
        <v>28</v>
      </c>
      <c r="D558" t="s">
        <v>20</v>
      </c>
      <c r="E558" t="s">
        <v>21</v>
      </c>
      <c r="F558">
        <v>4</v>
      </c>
      <c r="G558">
        <v>650</v>
      </c>
      <c r="H558">
        <v>2600</v>
      </c>
      <c r="I558">
        <v>0</v>
      </c>
      <c r="J558">
        <v>919.58</v>
      </c>
      <c r="K558" t="s">
        <v>26</v>
      </c>
      <c r="L558" t="s">
        <v>32</v>
      </c>
    </row>
    <row r="559" spans="1:12" x14ac:dyDescent="0.3">
      <c r="A559" t="s">
        <v>603</v>
      </c>
      <c r="B559" s="1">
        <v>45773</v>
      </c>
      <c r="C559" t="s">
        <v>28</v>
      </c>
      <c r="D559" t="s">
        <v>14</v>
      </c>
      <c r="E559" t="s">
        <v>15</v>
      </c>
      <c r="F559">
        <v>6</v>
      </c>
      <c r="G559">
        <v>1200</v>
      </c>
      <c r="H559">
        <v>6840</v>
      </c>
      <c r="I559">
        <v>0.05</v>
      </c>
      <c r="J559">
        <v>1963.56</v>
      </c>
      <c r="K559" t="s">
        <v>22</v>
      </c>
      <c r="L559" t="s">
        <v>23</v>
      </c>
    </row>
    <row r="560" spans="1:12" x14ac:dyDescent="0.3">
      <c r="A560" t="s">
        <v>604</v>
      </c>
      <c r="B560" s="1">
        <v>45964</v>
      </c>
      <c r="C560" t="s">
        <v>56</v>
      </c>
      <c r="D560" t="s">
        <v>20</v>
      </c>
      <c r="E560" t="s">
        <v>21</v>
      </c>
      <c r="F560">
        <v>2</v>
      </c>
      <c r="G560">
        <v>650</v>
      </c>
      <c r="H560">
        <v>1300</v>
      </c>
      <c r="I560">
        <v>0</v>
      </c>
      <c r="J560">
        <v>494.11</v>
      </c>
      <c r="K560" t="s">
        <v>26</v>
      </c>
      <c r="L560" t="s">
        <v>32</v>
      </c>
    </row>
    <row r="561" spans="1:12" x14ac:dyDescent="0.3">
      <c r="A561" t="s">
        <v>605</v>
      </c>
      <c r="B561" s="1">
        <v>45924</v>
      </c>
      <c r="C561" t="s">
        <v>19</v>
      </c>
      <c r="D561" t="s">
        <v>20</v>
      </c>
      <c r="E561" t="s">
        <v>84</v>
      </c>
      <c r="F561">
        <v>8</v>
      </c>
      <c r="G561">
        <v>3200</v>
      </c>
      <c r="H561">
        <v>20480</v>
      </c>
      <c r="I561">
        <v>0.2</v>
      </c>
      <c r="J561">
        <v>-2.59</v>
      </c>
      <c r="K561" t="s">
        <v>16</v>
      </c>
      <c r="L561" t="s">
        <v>23</v>
      </c>
    </row>
    <row r="562" spans="1:12" x14ac:dyDescent="0.3">
      <c r="A562" t="s">
        <v>606</v>
      </c>
      <c r="B562" s="1">
        <v>45678</v>
      </c>
      <c r="C562" t="s">
        <v>13</v>
      </c>
      <c r="D562" t="s">
        <v>14</v>
      </c>
      <c r="E562" t="s">
        <v>25</v>
      </c>
      <c r="F562">
        <v>5</v>
      </c>
      <c r="G562">
        <v>3200</v>
      </c>
      <c r="H562">
        <v>15200</v>
      </c>
      <c r="I562">
        <v>0.05</v>
      </c>
      <c r="J562">
        <v>4311.91</v>
      </c>
      <c r="K562" t="s">
        <v>26</v>
      </c>
      <c r="L562" t="s">
        <v>32</v>
      </c>
    </row>
    <row r="563" spans="1:12" x14ac:dyDescent="0.3">
      <c r="A563" t="s">
        <v>607</v>
      </c>
      <c r="B563" s="1">
        <v>45723</v>
      </c>
      <c r="C563" t="s">
        <v>35</v>
      </c>
      <c r="D563" t="s">
        <v>90</v>
      </c>
      <c r="E563" t="s">
        <v>25</v>
      </c>
      <c r="F563">
        <v>3</v>
      </c>
      <c r="G563">
        <v>3200</v>
      </c>
      <c r="H563">
        <v>7680</v>
      </c>
      <c r="I563">
        <v>0.2</v>
      </c>
      <c r="J563">
        <v>773.51</v>
      </c>
      <c r="K563" t="s">
        <v>16</v>
      </c>
      <c r="L563" t="s">
        <v>23</v>
      </c>
    </row>
    <row r="564" spans="1:12" x14ac:dyDescent="0.3">
      <c r="A564" t="s">
        <v>608</v>
      </c>
      <c r="B564" s="1">
        <v>46003</v>
      </c>
      <c r="C564" t="s">
        <v>28</v>
      </c>
      <c r="D564" t="s">
        <v>14</v>
      </c>
      <c r="E564" t="s">
        <v>15</v>
      </c>
      <c r="F564">
        <v>3</v>
      </c>
      <c r="G564">
        <v>1200</v>
      </c>
      <c r="H564">
        <v>3060</v>
      </c>
      <c r="I564">
        <v>0.15</v>
      </c>
      <c r="J564">
        <v>1028.6300000000001</v>
      </c>
      <c r="K564" t="s">
        <v>26</v>
      </c>
      <c r="L564" t="s">
        <v>32</v>
      </c>
    </row>
    <row r="565" spans="1:12" x14ac:dyDescent="0.3">
      <c r="A565" t="s">
        <v>609</v>
      </c>
      <c r="B565" s="1">
        <v>45798</v>
      </c>
      <c r="C565" t="s">
        <v>56</v>
      </c>
      <c r="D565" t="s">
        <v>30</v>
      </c>
      <c r="E565" t="s">
        <v>47</v>
      </c>
      <c r="F565">
        <v>2</v>
      </c>
      <c r="G565">
        <v>450</v>
      </c>
      <c r="H565">
        <v>720</v>
      </c>
      <c r="I565">
        <v>0.2</v>
      </c>
      <c r="J565">
        <v>172.08</v>
      </c>
      <c r="K565" t="s">
        <v>26</v>
      </c>
      <c r="L565" t="s">
        <v>17</v>
      </c>
    </row>
    <row r="566" spans="1:12" x14ac:dyDescent="0.3">
      <c r="A566" t="s">
        <v>610</v>
      </c>
      <c r="B566" s="1">
        <v>45958</v>
      </c>
      <c r="C566" t="s">
        <v>13</v>
      </c>
      <c r="D566" t="s">
        <v>30</v>
      </c>
      <c r="E566" t="s">
        <v>82</v>
      </c>
      <c r="F566">
        <v>3</v>
      </c>
      <c r="G566">
        <v>250</v>
      </c>
      <c r="H566">
        <v>637.5</v>
      </c>
      <c r="I566">
        <v>0.15</v>
      </c>
      <c r="J566">
        <v>182.01</v>
      </c>
      <c r="K566" t="s">
        <v>22</v>
      </c>
      <c r="L566" t="s">
        <v>23</v>
      </c>
    </row>
    <row r="567" spans="1:12" x14ac:dyDescent="0.3">
      <c r="A567" t="s">
        <v>611</v>
      </c>
      <c r="B567" s="1">
        <v>45686</v>
      </c>
      <c r="C567" t="s">
        <v>19</v>
      </c>
      <c r="D567" t="s">
        <v>30</v>
      </c>
      <c r="E567" t="s">
        <v>31</v>
      </c>
      <c r="F567">
        <v>3</v>
      </c>
      <c r="G567">
        <v>120</v>
      </c>
      <c r="H567">
        <v>288</v>
      </c>
      <c r="I567">
        <v>0.2</v>
      </c>
      <c r="J567">
        <v>77.099999999999994</v>
      </c>
      <c r="K567" t="s">
        <v>16</v>
      </c>
      <c r="L567" t="s">
        <v>17</v>
      </c>
    </row>
    <row r="568" spans="1:12" x14ac:dyDescent="0.3">
      <c r="A568" t="s">
        <v>612</v>
      </c>
      <c r="B568" s="1">
        <v>45841</v>
      </c>
      <c r="C568" t="s">
        <v>35</v>
      </c>
      <c r="D568" t="s">
        <v>20</v>
      </c>
      <c r="E568" t="s">
        <v>84</v>
      </c>
      <c r="F568">
        <v>6</v>
      </c>
      <c r="G568">
        <v>3200</v>
      </c>
      <c r="H568">
        <v>17280</v>
      </c>
      <c r="I568">
        <v>0.1</v>
      </c>
      <c r="J568">
        <v>5437.32</v>
      </c>
      <c r="K568" t="s">
        <v>22</v>
      </c>
      <c r="L568" t="s">
        <v>32</v>
      </c>
    </row>
    <row r="569" spans="1:12" x14ac:dyDescent="0.3">
      <c r="A569" t="s">
        <v>613</v>
      </c>
      <c r="B569" s="1">
        <v>45901</v>
      </c>
      <c r="C569" t="s">
        <v>28</v>
      </c>
      <c r="D569" t="s">
        <v>36</v>
      </c>
      <c r="E569" t="s">
        <v>54</v>
      </c>
      <c r="F569">
        <v>8</v>
      </c>
      <c r="G569">
        <v>7000</v>
      </c>
      <c r="H569">
        <v>44800</v>
      </c>
      <c r="I569">
        <v>0.2</v>
      </c>
      <c r="J569">
        <v>12362.91</v>
      </c>
      <c r="K569" t="s">
        <v>26</v>
      </c>
      <c r="L569" t="s">
        <v>32</v>
      </c>
    </row>
    <row r="570" spans="1:12" x14ac:dyDescent="0.3">
      <c r="A570" t="s">
        <v>614</v>
      </c>
      <c r="B570" s="1">
        <v>45779</v>
      </c>
      <c r="C570" t="s">
        <v>90</v>
      </c>
      <c r="D570" t="s">
        <v>14</v>
      </c>
      <c r="E570" t="s">
        <v>25</v>
      </c>
      <c r="F570">
        <v>2</v>
      </c>
      <c r="G570">
        <v>3200</v>
      </c>
      <c r="H570">
        <v>6400</v>
      </c>
      <c r="I570">
        <v>0</v>
      </c>
      <c r="J570">
        <v>1785.29</v>
      </c>
      <c r="K570" t="s">
        <v>16</v>
      </c>
      <c r="L570" t="s">
        <v>23</v>
      </c>
    </row>
    <row r="571" spans="1:12" x14ac:dyDescent="0.3">
      <c r="A571" t="s">
        <v>615</v>
      </c>
      <c r="B571" s="1">
        <v>45743</v>
      </c>
      <c r="C571" t="s">
        <v>28</v>
      </c>
      <c r="D571" t="s">
        <v>36</v>
      </c>
      <c r="E571" t="s">
        <v>37</v>
      </c>
      <c r="F571">
        <v>2</v>
      </c>
      <c r="G571">
        <v>12000</v>
      </c>
      <c r="H571">
        <v>24000</v>
      </c>
      <c r="I571">
        <v>0</v>
      </c>
      <c r="J571">
        <v>5932.99</v>
      </c>
      <c r="K571" t="s">
        <v>26</v>
      </c>
      <c r="L571" t="s">
        <v>23</v>
      </c>
    </row>
    <row r="572" spans="1:12" x14ac:dyDescent="0.3">
      <c r="A572" t="s">
        <v>616</v>
      </c>
      <c r="B572" s="1">
        <v>45989</v>
      </c>
      <c r="C572" t="s">
        <v>56</v>
      </c>
      <c r="D572" t="s">
        <v>30</v>
      </c>
      <c r="E572" t="s">
        <v>31</v>
      </c>
      <c r="F572">
        <v>7</v>
      </c>
      <c r="G572">
        <v>120</v>
      </c>
      <c r="H572">
        <v>840</v>
      </c>
      <c r="I572">
        <v>0</v>
      </c>
      <c r="J572">
        <v>268.18</v>
      </c>
      <c r="K572" t="s">
        <v>16</v>
      </c>
      <c r="L572" t="s">
        <v>23</v>
      </c>
    </row>
    <row r="573" spans="1:12" x14ac:dyDescent="0.3">
      <c r="A573" t="s">
        <v>617</v>
      </c>
      <c r="B573" s="1">
        <v>45885</v>
      </c>
      <c r="C573" t="s">
        <v>19</v>
      </c>
      <c r="D573" t="s">
        <v>14</v>
      </c>
      <c r="E573" t="s">
        <v>25</v>
      </c>
      <c r="F573">
        <v>1</v>
      </c>
      <c r="G573">
        <v>3200</v>
      </c>
      <c r="H573">
        <v>3040</v>
      </c>
      <c r="I573">
        <v>0.05</v>
      </c>
      <c r="J573">
        <v>765.56</v>
      </c>
      <c r="K573" t="s">
        <v>26</v>
      </c>
      <c r="L573" t="s">
        <v>17</v>
      </c>
    </row>
    <row r="574" spans="1:12" x14ac:dyDescent="0.3">
      <c r="A574" t="s">
        <v>618</v>
      </c>
      <c r="B574" s="1">
        <v>45705</v>
      </c>
      <c r="C574" t="s">
        <v>13</v>
      </c>
      <c r="D574" t="s">
        <v>30</v>
      </c>
      <c r="E574" t="s">
        <v>31</v>
      </c>
      <c r="F574">
        <v>7</v>
      </c>
      <c r="G574">
        <v>120</v>
      </c>
      <c r="H574">
        <v>840</v>
      </c>
      <c r="I574">
        <v>0</v>
      </c>
      <c r="J574">
        <v>0</v>
      </c>
      <c r="K574" t="s">
        <v>16</v>
      </c>
      <c r="L574" t="s">
        <v>23</v>
      </c>
    </row>
    <row r="575" spans="1:12" x14ac:dyDescent="0.3">
      <c r="A575" t="s">
        <v>619</v>
      </c>
      <c r="B575" s="1">
        <v>45790</v>
      </c>
      <c r="C575" t="s">
        <v>56</v>
      </c>
      <c r="D575" t="s">
        <v>36</v>
      </c>
      <c r="E575" t="s">
        <v>37</v>
      </c>
      <c r="F575">
        <v>3</v>
      </c>
      <c r="G575">
        <v>12000</v>
      </c>
      <c r="H575">
        <v>32400</v>
      </c>
      <c r="I575">
        <v>0.1</v>
      </c>
      <c r="J575">
        <v>9158.89</v>
      </c>
      <c r="K575" t="s">
        <v>16</v>
      </c>
      <c r="L575" t="s">
        <v>32</v>
      </c>
    </row>
    <row r="576" spans="1:12" x14ac:dyDescent="0.3">
      <c r="A576" t="s">
        <v>620</v>
      </c>
      <c r="B576" s="1">
        <v>45755</v>
      </c>
      <c r="C576" t="s">
        <v>35</v>
      </c>
      <c r="D576" t="s">
        <v>36</v>
      </c>
      <c r="E576" t="s">
        <v>37</v>
      </c>
      <c r="F576">
        <v>6</v>
      </c>
      <c r="G576">
        <v>1800</v>
      </c>
      <c r="H576">
        <v>10260</v>
      </c>
      <c r="I576">
        <v>0.05</v>
      </c>
      <c r="J576">
        <v>3088.37</v>
      </c>
      <c r="K576" t="s">
        <v>26</v>
      </c>
      <c r="L576" t="s">
        <v>17</v>
      </c>
    </row>
    <row r="577" spans="1:12" x14ac:dyDescent="0.3">
      <c r="A577" t="s">
        <v>621</v>
      </c>
      <c r="B577" s="1">
        <v>45760</v>
      </c>
      <c r="C577" t="s">
        <v>56</v>
      </c>
      <c r="D577" t="s">
        <v>14</v>
      </c>
      <c r="E577" t="s">
        <v>15</v>
      </c>
      <c r="F577">
        <v>4</v>
      </c>
      <c r="G577">
        <v>1200</v>
      </c>
      <c r="H577">
        <v>4560</v>
      </c>
      <c r="I577">
        <v>0.05</v>
      </c>
      <c r="J577">
        <v>1419.74</v>
      </c>
      <c r="K577" t="s">
        <v>16</v>
      </c>
      <c r="L577" t="s">
        <v>23</v>
      </c>
    </row>
    <row r="578" spans="1:12" x14ac:dyDescent="0.3">
      <c r="A578" t="s">
        <v>622</v>
      </c>
      <c r="B578" s="1">
        <v>45674</v>
      </c>
      <c r="C578" t="s">
        <v>13</v>
      </c>
      <c r="D578" t="s">
        <v>36</v>
      </c>
      <c r="E578" t="s">
        <v>37</v>
      </c>
      <c r="F578">
        <v>3</v>
      </c>
      <c r="G578">
        <v>1800</v>
      </c>
      <c r="H578">
        <v>4860</v>
      </c>
      <c r="I578">
        <v>0.1</v>
      </c>
      <c r="J578">
        <v>877.22</v>
      </c>
      <c r="K578" t="s">
        <v>22</v>
      </c>
      <c r="L578" t="s">
        <v>23</v>
      </c>
    </row>
    <row r="579" spans="1:12" x14ac:dyDescent="0.3">
      <c r="A579" t="s">
        <v>623</v>
      </c>
      <c r="B579" s="1">
        <v>45885</v>
      </c>
      <c r="C579" t="s">
        <v>19</v>
      </c>
      <c r="D579" t="s">
        <v>36</v>
      </c>
      <c r="E579" t="s">
        <v>37</v>
      </c>
      <c r="F579">
        <v>2</v>
      </c>
      <c r="G579">
        <v>1800</v>
      </c>
      <c r="H579">
        <v>3240</v>
      </c>
      <c r="I579">
        <v>0.1</v>
      </c>
      <c r="J579">
        <v>292.95</v>
      </c>
      <c r="K579" t="s">
        <v>16</v>
      </c>
      <c r="L579" t="s">
        <v>17</v>
      </c>
    </row>
    <row r="580" spans="1:12" x14ac:dyDescent="0.3">
      <c r="A580" t="s">
        <v>624</v>
      </c>
      <c r="B580" s="1">
        <v>45711</v>
      </c>
      <c r="C580" t="s">
        <v>19</v>
      </c>
      <c r="D580" t="s">
        <v>30</v>
      </c>
      <c r="E580" t="s">
        <v>41</v>
      </c>
      <c r="F580">
        <v>7</v>
      </c>
      <c r="G580">
        <v>600</v>
      </c>
      <c r="H580">
        <v>4200</v>
      </c>
      <c r="I580">
        <v>0</v>
      </c>
      <c r="J580">
        <v>-219.47</v>
      </c>
      <c r="K580" t="s">
        <v>16</v>
      </c>
      <c r="L580" t="s">
        <v>17</v>
      </c>
    </row>
    <row r="581" spans="1:12" x14ac:dyDescent="0.3">
      <c r="A581" t="s">
        <v>625</v>
      </c>
      <c r="B581" s="1">
        <v>45843</v>
      </c>
      <c r="C581" t="s">
        <v>28</v>
      </c>
      <c r="D581" t="s">
        <v>14</v>
      </c>
      <c r="E581" t="s">
        <v>51</v>
      </c>
      <c r="F581">
        <v>4</v>
      </c>
      <c r="G581">
        <v>2500</v>
      </c>
      <c r="H581">
        <v>9500</v>
      </c>
      <c r="I581">
        <v>0.05</v>
      </c>
      <c r="J581">
        <v>3521.75</v>
      </c>
      <c r="K581" t="s">
        <v>16</v>
      </c>
      <c r="L581" t="s">
        <v>17</v>
      </c>
    </row>
    <row r="582" spans="1:12" x14ac:dyDescent="0.3">
      <c r="A582" t="s">
        <v>626</v>
      </c>
      <c r="B582" s="1">
        <v>45683</v>
      </c>
      <c r="C582" t="s">
        <v>56</v>
      </c>
      <c r="D582" t="s">
        <v>20</v>
      </c>
      <c r="E582" t="s">
        <v>97</v>
      </c>
      <c r="F582">
        <v>4</v>
      </c>
      <c r="G582">
        <v>400</v>
      </c>
      <c r="H582">
        <v>1440</v>
      </c>
      <c r="I582">
        <v>0.1</v>
      </c>
      <c r="J582">
        <v>290.62</v>
      </c>
      <c r="K582" t="s">
        <v>26</v>
      </c>
      <c r="L582" t="s">
        <v>32</v>
      </c>
    </row>
    <row r="583" spans="1:12" x14ac:dyDescent="0.3">
      <c r="A583" t="s">
        <v>627</v>
      </c>
      <c r="B583" s="1">
        <v>45715</v>
      </c>
      <c r="C583" t="s">
        <v>19</v>
      </c>
      <c r="D583" t="s">
        <v>14</v>
      </c>
      <c r="E583" t="s">
        <v>51</v>
      </c>
      <c r="F583">
        <v>6</v>
      </c>
      <c r="G583">
        <v>2500</v>
      </c>
      <c r="H583">
        <v>12000</v>
      </c>
      <c r="I583">
        <v>0.2</v>
      </c>
      <c r="J583">
        <v>3066.16</v>
      </c>
      <c r="K583" t="s">
        <v>16</v>
      </c>
      <c r="L583" t="s">
        <v>32</v>
      </c>
    </row>
    <row r="584" spans="1:12" x14ac:dyDescent="0.3">
      <c r="A584" t="s">
        <v>628</v>
      </c>
      <c r="B584" s="1">
        <v>45689</v>
      </c>
      <c r="C584" t="s">
        <v>19</v>
      </c>
      <c r="D584" t="s">
        <v>30</v>
      </c>
      <c r="E584" t="s">
        <v>31</v>
      </c>
      <c r="F584">
        <v>1</v>
      </c>
      <c r="G584">
        <v>120</v>
      </c>
      <c r="H584">
        <v>114</v>
      </c>
      <c r="I584">
        <v>0.05</v>
      </c>
      <c r="J584">
        <v>29.56</v>
      </c>
      <c r="K584" t="s">
        <v>22</v>
      </c>
      <c r="L584" t="s">
        <v>32</v>
      </c>
    </row>
    <row r="585" spans="1:12" x14ac:dyDescent="0.3">
      <c r="A585" t="s">
        <v>629</v>
      </c>
      <c r="B585" s="1">
        <v>45933</v>
      </c>
      <c r="C585" t="s">
        <v>28</v>
      </c>
      <c r="D585" t="s">
        <v>20</v>
      </c>
      <c r="E585" t="s">
        <v>21</v>
      </c>
      <c r="F585">
        <v>5</v>
      </c>
      <c r="G585">
        <v>650</v>
      </c>
      <c r="H585">
        <v>2600</v>
      </c>
      <c r="I585">
        <v>0.2</v>
      </c>
      <c r="J585">
        <v>604.95000000000005</v>
      </c>
      <c r="K585" t="s">
        <v>26</v>
      </c>
      <c r="L585" t="s">
        <v>23</v>
      </c>
    </row>
    <row r="586" spans="1:12" x14ac:dyDescent="0.3">
      <c r="A586" t="s">
        <v>630</v>
      </c>
      <c r="B586" s="1">
        <v>45913</v>
      </c>
      <c r="C586" t="s">
        <v>19</v>
      </c>
      <c r="D586" t="s">
        <v>36</v>
      </c>
      <c r="E586" t="s">
        <v>37</v>
      </c>
      <c r="F586">
        <v>1</v>
      </c>
      <c r="G586">
        <v>12000</v>
      </c>
      <c r="H586">
        <v>9600</v>
      </c>
      <c r="I586">
        <v>0.2</v>
      </c>
      <c r="J586">
        <v>2361.4699999999998</v>
      </c>
      <c r="K586" t="s">
        <v>16</v>
      </c>
      <c r="L586" t="s">
        <v>17</v>
      </c>
    </row>
    <row r="587" spans="1:12" x14ac:dyDescent="0.3">
      <c r="A587" t="s">
        <v>631</v>
      </c>
      <c r="B587" s="1">
        <v>45861</v>
      </c>
      <c r="C587" t="s">
        <v>28</v>
      </c>
      <c r="D587" t="s">
        <v>14</v>
      </c>
      <c r="E587" t="s">
        <v>65</v>
      </c>
      <c r="F587">
        <v>4</v>
      </c>
      <c r="G587">
        <v>700</v>
      </c>
      <c r="H587">
        <v>2380</v>
      </c>
      <c r="I587">
        <v>0.15</v>
      </c>
      <c r="J587">
        <v>314.74</v>
      </c>
      <c r="K587" t="s">
        <v>26</v>
      </c>
      <c r="L587" t="s">
        <v>17</v>
      </c>
    </row>
    <row r="588" spans="1:12" x14ac:dyDescent="0.3">
      <c r="A588" t="s">
        <v>632</v>
      </c>
      <c r="B588" s="1">
        <v>45865</v>
      </c>
      <c r="C588" t="s">
        <v>35</v>
      </c>
      <c r="D588" t="s">
        <v>20</v>
      </c>
      <c r="E588" t="s">
        <v>39</v>
      </c>
      <c r="F588">
        <v>5</v>
      </c>
      <c r="G588">
        <v>2800</v>
      </c>
      <c r="H588">
        <v>14000</v>
      </c>
      <c r="I588">
        <v>0</v>
      </c>
      <c r="J588">
        <v>5907.83</v>
      </c>
      <c r="K588" t="s">
        <v>22</v>
      </c>
      <c r="L588" t="s">
        <v>17</v>
      </c>
    </row>
    <row r="589" spans="1:12" x14ac:dyDescent="0.3">
      <c r="A589" t="s">
        <v>633</v>
      </c>
      <c r="B589" s="1">
        <v>45730</v>
      </c>
      <c r="C589" t="s">
        <v>56</v>
      </c>
      <c r="D589" t="s">
        <v>14</v>
      </c>
      <c r="E589" t="s">
        <v>43</v>
      </c>
      <c r="F589">
        <v>2</v>
      </c>
      <c r="G589">
        <v>65000</v>
      </c>
      <c r="H589">
        <v>117000</v>
      </c>
      <c r="I589">
        <v>0.1</v>
      </c>
      <c r="J589">
        <v>29523.96</v>
      </c>
      <c r="K589" t="s">
        <v>16</v>
      </c>
      <c r="L589" t="s">
        <v>23</v>
      </c>
    </row>
    <row r="590" spans="1:12" x14ac:dyDescent="0.3">
      <c r="A590" t="s">
        <v>634</v>
      </c>
      <c r="B590" s="1">
        <v>45870</v>
      </c>
      <c r="C590" t="s">
        <v>19</v>
      </c>
      <c r="D590" t="s">
        <v>36</v>
      </c>
      <c r="E590" t="s">
        <v>37</v>
      </c>
      <c r="F590">
        <v>2</v>
      </c>
      <c r="G590">
        <v>12000</v>
      </c>
      <c r="H590">
        <v>24000</v>
      </c>
      <c r="I590">
        <v>0</v>
      </c>
      <c r="J590">
        <v>8301.68</v>
      </c>
      <c r="K590" t="s">
        <v>22</v>
      </c>
      <c r="L590" t="s">
        <v>32</v>
      </c>
    </row>
    <row r="591" spans="1:12" x14ac:dyDescent="0.3">
      <c r="A591" t="s">
        <v>635</v>
      </c>
      <c r="B591" s="1">
        <v>45661</v>
      </c>
      <c r="C591" t="s">
        <v>19</v>
      </c>
      <c r="D591" t="s">
        <v>30</v>
      </c>
      <c r="E591" t="s">
        <v>41</v>
      </c>
      <c r="F591">
        <v>1</v>
      </c>
      <c r="G591">
        <v>600</v>
      </c>
      <c r="H591">
        <v>510</v>
      </c>
      <c r="I591">
        <v>0.15</v>
      </c>
      <c r="J591">
        <v>58.32</v>
      </c>
      <c r="K591" t="s">
        <v>16</v>
      </c>
      <c r="L591" t="s">
        <v>17</v>
      </c>
    </row>
    <row r="592" spans="1:12" x14ac:dyDescent="0.3">
      <c r="A592" t="s">
        <v>636</v>
      </c>
      <c r="B592" s="1">
        <v>45999</v>
      </c>
      <c r="C592" t="s">
        <v>19</v>
      </c>
      <c r="D592" t="s">
        <v>30</v>
      </c>
      <c r="E592" t="s">
        <v>31</v>
      </c>
      <c r="F592">
        <v>10</v>
      </c>
      <c r="G592">
        <v>120</v>
      </c>
      <c r="H592">
        <v>1200</v>
      </c>
      <c r="I592">
        <v>0</v>
      </c>
      <c r="J592">
        <v>447.83</v>
      </c>
      <c r="K592" t="s">
        <v>16</v>
      </c>
      <c r="L592" t="s">
        <v>32</v>
      </c>
    </row>
    <row r="593" spans="1:12" x14ac:dyDescent="0.3">
      <c r="A593" t="s">
        <v>637</v>
      </c>
      <c r="B593" s="1">
        <v>45682</v>
      </c>
      <c r="C593" t="s">
        <v>28</v>
      </c>
      <c r="D593" t="s">
        <v>36</v>
      </c>
      <c r="E593" t="s">
        <v>91</v>
      </c>
      <c r="F593">
        <v>1</v>
      </c>
      <c r="G593">
        <v>8500</v>
      </c>
      <c r="H593">
        <v>7225</v>
      </c>
      <c r="I593">
        <v>0.15</v>
      </c>
      <c r="J593">
        <v>1565.58</v>
      </c>
      <c r="K593" t="s">
        <v>22</v>
      </c>
      <c r="L593" t="s">
        <v>23</v>
      </c>
    </row>
    <row r="594" spans="1:12" x14ac:dyDescent="0.3">
      <c r="A594" t="s">
        <v>638</v>
      </c>
      <c r="B594" s="1">
        <v>46011</v>
      </c>
      <c r="C594" t="s">
        <v>56</v>
      </c>
      <c r="D594" t="s">
        <v>36</v>
      </c>
      <c r="E594" t="s">
        <v>54</v>
      </c>
      <c r="F594">
        <v>3</v>
      </c>
      <c r="G594">
        <v>7000</v>
      </c>
      <c r="H594">
        <v>18900</v>
      </c>
      <c r="I594">
        <v>0.1</v>
      </c>
      <c r="J594">
        <v>4129.34</v>
      </c>
      <c r="K594" t="s">
        <v>22</v>
      </c>
      <c r="L594" t="s">
        <v>32</v>
      </c>
    </row>
    <row r="595" spans="1:12" x14ac:dyDescent="0.3">
      <c r="A595" t="s">
        <v>639</v>
      </c>
      <c r="B595" s="1">
        <v>46019</v>
      </c>
      <c r="C595" t="s">
        <v>13</v>
      </c>
      <c r="D595" t="s">
        <v>30</v>
      </c>
      <c r="E595" t="s">
        <v>45</v>
      </c>
      <c r="F595">
        <v>6</v>
      </c>
      <c r="G595">
        <v>180</v>
      </c>
      <c r="H595">
        <v>918</v>
      </c>
      <c r="I595">
        <v>0.15</v>
      </c>
      <c r="J595">
        <v>163.77000000000001</v>
      </c>
      <c r="K595" t="s">
        <v>26</v>
      </c>
      <c r="L595" t="s">
        <v>17</v>
      </c>
    </row>
    <row r="596" spans="1:12" x14ac:dyDescent="0.3">
      <c r="A596" t="s">
        <v>640</v>
      </c>
      <c r="B596" s="1">
        <v>45722</v>
      </c>
      <c r="C596" t="s">
        <v>56</v>
      </c>
      <c r="D596" t="s">
        <v>36</v>
      </c>
      <c r="E596" t="s">
        <v>37</v>
      </c>
      <c r="F596">
        <v>8</v>
      </c>
      <c r="G596">
        <v>1800</v>
      </c>
      <c r="H596">
        <v>14400</v>
      </c>
      <c r="I596">
        <v>0</v>
      </c>
      <c r="J596">
        <v>4551.07</v>
      </c>
      <c r="K596" t="s">
        <v>22</v>
      </c>
      <c r="L596" t="s">
        <v>32</v>
      </c>
    </row>
    <row r="597" spans="1:12" x14ac:dyDescent="0.3">
      <c r="A597" t="s">
        <v>641</v>
      </c>
      <c r="B597" s="1">
        <v>45669</v>
      </c>
      <c r="C597" t="s">
        <v>56</v>
      </c>
      <c r="D597" t="s">
        <v>30</v>
      </c>
      <c r="E597" t="s">
        <v>82</v>
      </c>
      <c r="F597">
        <v>10</v>
      </c>
      <c r="G597">
        <v>250</v>
      </c>
      <c r="H597">
        <v>2500</v>
      </c>
      <c r="I597">
        <v>0</v>
      </c>
      <c r="J597">
        <v>724.11</v>
      </c>
      <c r="K597" t="s">
        <v>16</v>
      </c>
      <c r="L597" t="s">
        <v>17</v>
      </c>
    </row>
    <row r="598" spans="1:12" x14ac:dyDescent="0.3">
      <c r="A598" t="s">
        <v>642</v>
      </c>
      <c r="B598" s="1">
        <v>45879</v>
      </c>
      <c r="C598" t="s">
        <v>56</v>
      </c>
      <c r="D598" t="s">
        <v>36</v>
      </c>
      <c r="E598" t="s">
        <v>91</v>
      </c>
      <c r="F598">
        <v>5</v>
      </c>
      <c r="G598">
        <v>8500</v>
      </c>
      <c r="H598">
        <v>42500</v>
      </c>
      <c r="I598">
        <v>0</v>
      </c>
      <c r="J598">
        <v>13750.65</v>
      </c>
      <c r="K598" t="s">
        <v>22</v>
      </c>
      <c r="L598" t="s">
        <v>17</v>
      </c>
    </row>
    <row r="599" spans="1:12" x14ac:dyDescent="0.3">
      <c r="A599" t="s">
        <v>643</v>
      </c>
      <c r="B599" s="1">
        <v>45847</v>
      </c>
      <c r="C599" t="s">
        <v>13</v>
      </c>
      <c r="D599" t="s">
        <v>36</v>
      </c>
      <c r="E599" t="s">
        <v>37</v>
      </c>
      <c r="F599">
        <v>6</v>
      </c>
      <c r="G599">
        <v>12000</v>
      </c>
      <c r="H599">
        <v>72000</v>
      </c>
      <c r="I599">
        <v>0</v>
      </c>
      <c r="J599">
        <v>17918.66</v>
      </c>
      <c r="K599" t="s">
        <v>26</v>
      </c>
      <c r="L599" t="s">
        <v>23</v>
      </c>
    </row>
    <row r="600" spans="1:12" x14ac:dyDescent="0.3">
      <c r="A600" t="s">
        <v>644</v>
      </c>
      <c r="B600" s="1">
        <v>45897</v>
      </c>
      <c r="C600" t="s">
        <v>35</v>
      </c>
      <c r="D600" t="s">
        <v>36</v>
      </c>
      <c r="E600" t="s">
        <v>37</v>
      </c>
      <c r="F600">
        <v>9</v>
      </c>
      <c r="G600">
        <v>12000</v>
      </c>
      <c r="H600">
        <v>97200</v>
      </c>
      <c r="I600">
        <v>0.1</v>
      </c>
      <c r="J600">
        <v>26720.7</v>
      </c>
      <c r="K600" t="s">
        <v>26</v>
      </c>
      <c r="L600" t="s">
        <v>17</v>
      </c>
    </row>
    <row r="601" spans="1:12" x14ac:dyDescent="0.3">
      <c r="A601" t="s">
        <v>645</v>
      </c>
      <c r="B601" s="1">
        <v>45723</v>
      </c>
      <c r="C601" t="s">
        <v>35</v>
      </c>
      <c r="D601" t="s">
        <v>30</v>
      </c>
      <c r="E601" t="s">
        <v>31</v>
      </c>
      <c r="F601">
        <v>5</v>
      </c>
      <c r="G601">
        <v>120</v>
      </c>
      <c r="H601">
        <v>510</v>
      </c>
      <c r="I601">
        <v>0.15</v>
      </c>
      <c r="J601">
        <v>117.6</v>
      </c>
      <c r="K601" t="s">
        <v>26</v>
      </c>
      <c r="L601" t="s">
        <v>32</v>
      </c>
    </row>
    <row r="602" spans="1:12" x14ac:dyDescent="0.3">
      <c r="A602" t="s">
        <v>646</v>
      </c>
      <c r="B602" s="1">
        <v>45756</v>
      </c>
      <c r="C602" t="s">
        <v>35</v>
      </c>
      <c r="D602" t="s">
        <v>14</v>
      </c>
      <c r="E602" t="s">
        <v>65</v>
      </c>
      <c r="F602">
        <v>3</v>
      </c>
      <c r="G602">
        <v>700</v>
      </c>
      <c r="H602">
        <v>1785</v>
      </c>
      <c r="I602">
        <v>0.15</v>
      </c>
      <c r="J602">
        <v>219.88</v>
      </c>
      <c r="K602" t="s">
        <v>26</v>
      </c>
      <c r="L602" t="s">
        <v>32</v>
      </c>
    </row>
    <row r="603" spans="1:12" x14ac:dyDescent="0.3">
      <c r="A603" t="s">
        <v>647</v>
      </c>
      <c r="B603" s="1">
        <v>45974</v>
      </c>
      <c r="C603" t="s">
        <v>35</v>
      </c>
      <c r="D603" t="s">
        <v>30</v>
      </c>
      <c r="E603" t="s">
        <v>41</v>
      </c>
      <c r="F603">
        <v>6</v>
      </c>
      <c r="G603">
        <v>600</v>
      </c>
      <c r="H603">
        <v>3060</v>
      </c>
      <c r="I603">
        <v>0.15</v>
      </c>
      <c r="J603">
        <v>944.66</v>
      </c>
      <c r="K603" t="s">
        <v>16</v>
      </c>
      <c r="L603" t="s">
        <v>32</v>
      </c>
    </row>
    <row r="604" spans="1:12" x14ac:dyDescent="0.3">
      <c r="A604" t="s">
        <v>648</v>
      </c>
      <c r="B604" s="1">
        <v>45667</v>
      </c>
      <c r="C604" t="s">
        <v>28</v>
      </c>
      <c r="D604" t="s">
        <v>20</v>
      </c>
      <c r="E604" t="s">
        <v>39</v>
      </c>
      <c r="F604">
        <v>6</v>
      </c>
      <c r="G604">
        <v>2800</v>
      </c>
      <c r="H604">
        <v>16800</v>
      </c>
      <c r="I604">
        <v>0</v>
      </c>
      <c r="J604">
        <v>5111.25</v>
      </c>
      <c r="K604" t="s">
        <v>22</v>
      </c>
      <c r="L604" t="s">
        <v>17</v>
      </c>
    </row>
    <row r="605" spans="1:12" x14ac:dyDescent="0.3">
      <c r="A605" t="s">
        <v>649</v>
      </c>
      <c r="B605" s="1">
        <v>45727</v>
      </c>
      <c r="C605" t="s">
        <v>35</v>
      </c>
      <c r="D605" t="s">
        <v>36</v>
      </c>
      <c r="E605" t="s">
        <v>37</v>
      </c>
      <c r="F605">
        <v>3</v>
      </c>
      <c r="G605">
        <v>12000</v>
      </c>
      <c r="H605">
        <v>36000</v>
      </c>
      <c r="I605">
        <v>0</v>
      </c>
      <c r="J605">
        <v>8065.71</v>
      </c>
      <c r="K605" t="s">
        <v>22</v>
      </c>
      <c r="L605" t="s">
        <v>17</v>
      </c>
    </row>
    <row r="606" spans="1:12" x14ac:dyDescent="0.3">
      <c r="A606" t="s">
        <v>650</v>
      </c>
      <c r="B606" s="1">
        <v>45956</v>
      </c>
      <c r="C606" t="s">
        <v>28</v>
      </c>
      <c r="D606" t="s">
        <v>20</v>
      </c>
      <c r="E606" t="s">
        <v>39</v>
      </c>
      <c r="F606">
        <v>7</v>
      </c>
      <c r="G606">
        <v>2800</v>
      </c>
      <c r="H606">
        <v>19600</v>
      </c>
      <c r="I606">
        <v>0</v>
      </c>
      <c r="J606">
        <v>3534.18</v>
      </c>
      <c r="K606" t="s">
        <v>16</v>
      </c>
      <c r="L606" t="s">
        <v>17</v>
      </c>
    </row>
    <row r="607" spans="1:12" x14ac:dyDescent="0.3">
      <c r="A607" t="s">
        <v>651</v>
      </c>
      <c r="B607" s="1">
        <v>45747</v>
      </c>
      <c r="C607" t="s">
        <v>56</v>
      </c>
      <c r="D607" t="s">
        <v>14</v>
      </c>
      <c r="E607" t="s">
        <v>65</v>
      </c>
      <c r="F607">
        <v>4</v>
      </c>
      <c r="G607">
        <v>700</v>
      </c>
      <c r="H607">
        <v>2660</v>
      </c>
      <c r="I607">
        <v>0.05</v>
      </c>
      <c r="J607">
        <v>375.85</v>
      </c>
      <c r="K607" t="s">
        <v>16</v>
      </c>
      <c r="L607" t="s">
        <v>17</v>
      </c>
    </row>
    <row r="608" spans="1:12" x14ac:dyDescent="0.3">
      <c r="A608" t="s">
        <v>652</v>
      </c>
      <c r="B608" s="1">
        <v>45965</v>
      </c>
      <c r="C608" t="s">
        <v>56</v>
      </c>
      <c r="D608" t="s">
        <v>14</v>
      </c>
      <c r="E608" t="s">
        <v>25</v>
      </c>
      <c r="F608">
        <v>4</v>
      </c>
      <c r="G608">
        <v>3200</v>
      </c>
      <c r="H608">
        <v>11520</v>
      </c>
      <c r="I608">
        <v>0.1</v>
      </c>
      <c r="J608">
        <v>4302.3500000000004</v>
      </c>
      <c r="K608" t="s">
        <v>22</v>
      </c>
      <c r="L608" t="s">
        <v>17</v>
      </c>
    </row>
    <row r="609" spans="1:12" x14ac:dyDescent="0.3">
      <c r="A609" t="s">
        <v>653</v>
      </c>
      <c r="B609" s="1">
        <v>45884</v>
      </c>
      <c r="C609" t="s">
        <v>19</v>
      </c>
      <c r="D609" t="s">
        <v>14</v>
      </c>
      <c r="E609" t="s">
        <v>43</v>
      </c>
      <c r="F609">
        <v>9</v>
      </c>
      <c r="G609">
        <v>65000</v>
      </c>
      <c r="H609">
        <v>585000</v>
      </c>
      <c r="I609">
        <v>0</v>
      </c>
      <c r="J609">
        <v>240656.53</v>
      </c>
      <c r="K609" t="s">
        <v>26</v>
      </c>
      <c r="L609" t="s">
        <v>23</v>
      </c>
    </row>
    <row r="610" spans="1:12" x14ac:dyDescent="0.3">
      <c r="A610" t="s">
        <v>654</v>
      </c>
      <c r="B610" s="1">
        <v>45912</v>
      </c>
      <c r="C610" t="s">
        <v>35</v>
      </c>
      <c r="D610" t="s">
        <v>20</v>
      </c>
      <c r="E610" t="s">
        <v>97</v>
      </c>
      <c r="F610">
        <v>10</v>
      </c>
      <c r="G610">
        <v>400</v>
      </c>
      <c r="H610">
        <v>3400</v>
      </c>
      <c r="I610">
        <v>0.15</v>
      </c>
      <c r="J610">
        <v>716.23</v>
      </c>
      <c r="K610" t="s">
        <v>22</v>
      </c>
      <c r="L610" t="s">
        <v>23</v>
      </c>
    </row>
    <row r="611" spans="1:12" x14ac:dyDescent="0.3">
      <c r="A611" t="s">
        <v>655</v>
      </c>
      <c r="B611" s="1">
        <v>45883</v>
      </c>
      <c r="C611" t="s">
        <v>28</v>
      </c>
      <c r="D611" t="s">
        <v>14</v>
      </c>
      <c r="E611" t="s">
        <v>43</v>
      </c>
      <c r="F611">
        <v>9</v>
      </c>
      <c r="G611">
        <v>65000</v>
      </c>
      <c r="H611">
        <v>526500</v>
      </c>
      <c r="I611">
        <v>0.1</v>
      </c>
      <c r="J611">
        <v>109022.92</v>
      </c>
      <c r="K611" t="s">
        <v>22</v>
      </c>
      <c r="L611" t="s">
        <v>32</v>
      </c>
    </row>
    <row r="612" spans="1:12" x14ac:dyDescent="0.3">
      <c r="A612" t="s">
        <v>656</v>
      </c>
      <c r="B612" s="1">
        <v>45686</v>
      </c>
      <c r="C612" t="s">
        <v>28</v>
      </c>
      <c r="D612" t="s">
        <v>20</v>
      </c>
      <c r="E612" t="s">
        <v>97</v>
      </c>
      <c r="F612">
        <v>9</v>
      </c>
      <c r="G612">
        <v>400</v>
      </c>
      <c r="H612">
        <v>3240</v>
      </c>
      <c r="I612">
        <v>0.1</v>
      </c>
      <c r="J612">
        <v>1013.9</v>
      </c>
      <c r="K612" t="s">
        <v>22</v>
      </c>
      <c r="L612" t="s">
        <v>17</v>
      </c>
    </row>
    <row r="613" spans="1:12" x14ac:dyDescent="0.3">
      <c r="A613" t="s">
        <v>657</v>
      </c>
      <c r="B613" s="1">
        <v>45824</v>
      </c>
      <c r="C613" t="s">
        <v>56</v>
      </c>
      <c r="D613" t="s">
        <v>30</v>
      </c>
      <c r="E613" t="s">
        <v>82</v>
      </c>
      <c r="F613">
        <v>9</v>
      </c>
      <c r="G613">
        <v>250</v>
      </c>
      <c r="H613">
        <v>2137.5</v>
      </c>
      <c r="I613">
        <v>0.05</v>
      </c>
      <c r="J613">
        <v>823.68</v>
      </c>
      <c r="K613" t="s">
        <v>16</v>
      </c>
      <c r="L613" t="s">
        <v>32</v>
      </c>
    </row>
    <row r="614" spans="1:12" x14ac:dyDescent="0.3">
      <c r="A614" t="s">
        <v>658</v>
      </c>
      <c r="B614" s="1">
        <v>45733</v>
      </c>
      <c r="C614" t="s">
        <v>28</v>
      </c>
      <c r="D614" t="s">
        <v>36</v>
      </c>
      <c r="E614" t="s">
        <v>37</v>
      </c>
      <c r="F614">
        <v>2</v>
      </c>
      <c r="G614">
        <v>1800</v>
      </c>
      <c r="H614">
        <v>3600</v>
      </c>
      <c r="I614">
        <v>0</v>
      </c>
      <c r="J614">
        <v>1407.44</v>
      </c>
      <c r="K614" t="s">
        <v>16</v>
      </c>
      <c r="L614" t="s">
        <v>32</v>
      </c>
    </row>
    <row r="615" spans="1:12" x14ac:dyDescent="0.3">
      <c r="A615" t="s">
        <v>659</v>
      </c>
      <c r="B615" s="1">
        <v>45680</v>
      </c>
      <c r="C615" t="s">
        <v>13</v>
      </c>
      <c r="D615" t="s">
        <v>20</v>
      </c>
      <c r="E615" t="s">
        <v>84</v>
      </c>
      <c r="F615">
        <v>8</v>
      </c>
      <c r="G615">
        <v>3200</v>
      </c>
      <c r="H615">
        <v>24320</v>
      </c>
      <c r="I615">
        <v>0.05</v>
      </c>
      <c r="J615">
        <v>7544.43</v>
      </c>
      <c r="K615" t="s">
        <v>26</v>
      </c>
      <c r="L615" t="s">
        <v>17</v>
      </c>
    </row>
    <row r="616" spans="1:12" x14ac:dyDescent="0.3">
      <c r="A616" t="s">
        <v>660</v>
      </c>
      <c r="B616" s="1">
        <v>46009</v>
      </c>
      <c r="C616" t="s">
        <v>19</v>
      </c>
      <c r="D616" t="s">
        <v>36</v>
      </c>
      <c r="E616" t="s">
        <v>37</v>
      </c>
      <c r="F616">
        <v>5</v>
      </c>
      <c r="G616">
        <v>1800</v>
      </c>
      <c r="H616">
        <v>9000</v>
      </c>
      <c r="I616">
        <v>0</v>
      </c>
      <c r="J616">
        <v>3417.79</v>
      </c>
      <c r="K616" t="s">
        <v>16</v>
      </c>
      <c r="L616" t="s">
        <v>32</v>
      </c>
    </row>
    <row r="617" spans="1:12" x14ac:dyDescent="0.3">
      <c r="A617" t="s">
        <v>661</v>
      </c>
      <c r="B617" s="1">
        <v>45670</v>
      </c>
      <c r="C617" t="s">
        <v>13</v>
      </c>
      <c r="D617" t="s">
        <v>20</v>
      </c>
      <c r="E617" t="s">
        <v>84</v>
      </c>
      <c r="F617">
        <v>3</v>
      </c>
      <c r="G617">
        <v>3200</v>
      </c>
      <c r="H617">
        <v>9600</v>
      </c>
      <c r="I617">
        <v>0</v>
      </c>
      <c r="J617">
        <v>2459.0300000000002</v>
      </c>
      <c r="K617" t="s">
        <v>26</v>
      </c>
      <c r="L617" t="s">
        <v>17</v>
      </c>
    </row>
    <row r="618" spans="1:12" x14ac:dyDescent="0.3">
      <c r="A618" t="s">
        <v>662</v>
      </c>
      <c r="B618" s="1">
        <v>45877</v>
      </c>
      <c r="C618" t="s">
        <v>13</v>
      </c>
      <c r="D618" t="s">
        <v>30</v>
      </c>
      <c r="E618" t="s">
        <v>45</v>
      </c>
      <c r="F618">
        <v>6</v>
      </c>
      <c r="G618">
        <v>180</v>
      </c>
      <c r="H618">
        <v>972</v>
      </c>
      <c r="I618">
        <v>0.1</v>
      </c>
      <c r="J618">
        <v>293.06</v>
      </c>
      <c r="K618" t="s">
        <v>22</v>
      </c>
      <c r="L618" t="s">
        <v>23</v>
      </c>
    </row>
    <row r="619" spans="1:12" x14ac:dyDescent="0.3">
      <c r="A619" t="s">
        <v>663</v>
      </c>
      <c r="B619" s="1">
        <v>45950</v>
      </c>
      <c r="C619" t="s">
        <v>56</v>
      </c>
      <c r="D619" t="s">
        <v>30</v>
      </c>
      <c r="E619" t="s">
        <v>47</v>
      </c>
      <c r="F619">
        <v>4</v>
      </c>
      <c r="G619">
        <v>450</v>
      </c>
      <c r="H619">
        <v>1800</v>
      </c>
      <c r="I619">
        <v>0</v>
      </c>
      <c r="J619">
        <v>786.24</v>
      </c>
      <c r="K619" t="s">
        <v>16</v>
      </c>
      <c r="L619" t="s">
        <v>32</v>
      </c>
    </row>
    <row r="620" spans="1:12" x14ac:dyDescent="0.3">
      <c r="A620" t="s">
        <v>664</v>
      </c>
      <c r="B620" s="1">
        <v>45908</v>
      </c>
      <c r="C620" t="s">
        <v>13</v>
      </c>
      <c r="D620" t="s">
        <v>14</v>
      </c>
      <c r="E620" t="s">
        <v>15</v>
      </c>
      <c r="F620">
        <v>6</v>
      </c>
      <c r="G620">
        <v>1200</v>
      </c>
      <c r="H620">
        <v>6480</v>
      </c>
      <c r="I620">
        <v>0.1</v>
      </c>
      <c r="J620">
        <v>1906.07</v>
      </c>
      <c r="K620" t="s">
        <v>26</v>
      </c>
      <c r="L620" t="s">
        <v>23</v>
      </c>
    </row>
    <row r="621" spans="1:12" x14ac:dyDescent="0.3">
      <c r="A621" t="s">
        <v>665</v>
      </c>
      <c r="B621" s="1">
        <v>45808</v>
      </c>
      <c r="C621" t="s">
        <v>28</v>
      </c>
      <c r="D621" t="s">
        <v>14</v>
      </c>
      <c r="E621" t="s">
        <v>51</v>
      </c>
      <c r="F621">
        <v>3</v>
      </c>
      <c r="G621">
        <v>2500</v>
      </c>
      <c r="H621">
        <v>7500</v>
      </c>
      <c r="I621">
        <v>0</v>
      </c>
      <c r="J621">
        <v>1468.67</v>
      </c>
      <c r="K621" t="s">
        <v>26</v>
      </c>
      <c r="L621" t="s">
        <v>23</v>
      </c>
    </row>
    <row r="622" spans="1:12" x14ac:dyDescent="0.3">
      <c r="A622" t="s">
        <v>666</v>
      </c>
      <c r="B622" s="1">
        <v>45669</v>
      </c>
      <c r="C622" t="s">
        <v>13</v>
      </c>
      <c r="D622" t="s">
        <v>30</v>
      </c>
      <c r="E622" t="s">
        <v>31</v>
      </c>
      <c r="F622">
        <v>7</v>
      </c>
      <c r="G622">
        <v>120</v>
      </c>
      <c r="H622">
        <v>756</v>
      </c>
      <c r="I622">
        <v>0.1</v>
      </c>
      <c r="J622">
        <v>238.58</v>
      </c>
      <c r="K622" t="s">
        <v>16</v>
      </c>
      <c r="L622" t="s">
        <v>32</v>
      </c>
    </row>
    <row r="623" spans="1:12" x14ac:dyDescent="0.3">
      <c r="A623" t="s">
        <v>667</v>
      </c>
      <c r="B623" s="1">
        <v>46019</v>
      </c>
      <c r="C623" t="s">
        <v>28</v>
      </c>
      <c r="D623" t="s">
        <v>36</v>
      </c>
      <c r="E623" t="s">
        <v>54</v>
      </c>
      <c r="F623">
        <v>2</v>
      </c>
      <c r="G623">
        <v>7000</v>
      </c>
      <c r="H623">
        <v>14000</v>
      </c>
      <c r="I623">
        <v>0</v>
      </c>
      <c r="J623">
        <v>4483.1899999999996</v>
      </c>
      <c r="K623" t="s">
        <v>26</v>
      </c>
      <c r="L623" t="s">
        <v>32</v>
      </c>
    </row>
    <row r="624" spans="1:12" x14ac:dyDescent="0.3">
      <c r="A624" t="s">
        <v>668</v>
      </c>
      <c r="B624" s="1">
        <v>45946</v>
      </c>
      <c r="C624" t="s">
        <v>28</v>
      </c>
      <c r="D624" t="s">
        <v>20</v>
      </c>
      <c r="E624" t="s">
        <v>21</v>
      </c>
      <c r="F624">
        <v>8</v>
      </c>
      <c r="G624">
        <v>650</v>
      </c>
      <c r="H624">
        <v>4420</v>
      </c>
      <c r="I624">
        <v>0.15</v>
      </c>
      <c r="J624">
        <v>726.06</v>
      </c>
      <c r="K624" t="s">
        <v>22</v>
      </c>
      <c r="L624" t="s">
        <v>23</v>
      </c>
    </row>
    <row r="625" spans="1:12" x14ac:dyDescent="0.3">
      <c r="A625" t="s">
        <v>669</v>
      </c>
      <c r="B625" s="1">
        <v>45751</v>
      </c>
      <c r="C625" t="s">
        <v>56</v>
      </c>
      <c r="D625" t="s">
        <v>30</v>
      </c>
      <c r="E625" t="s">
        <v>31</v>
      </c>
      <c r="F625">
        <v>7</v>
      </c>
      <c r="G625">
        <v>120</v>
      </c>
      <c r="H625">
        <v>840</v>
      </c>
      <c r="I625">
        <v>0</v>
      </c>
      <c r="J625">
        <v>154</v>
      </c>
      <c r="K625" t="s">
        <v>26</v>
      </c>
      <c r="L625" t="s">
        <v>23</v>
      </c>
    </row>
    <row r="626" spans="1:12" x14ac:dyDescent="0.3">
      <c r="A626" t="s">
        <v>670</v>
      </c>
      <c r="B626" s="1">
        <v>45690</v>
      </c>
      <c r="C626" t="s">
        <v>19</v>
      </c>
      <c r="D626" t="s">
        <v>30</v>
      </c>
      <c r="E626" t="s">
        <v>31</v>
      </c>
      <c r="F626">
        <v>8</v>
      </c>
      <c r="G626">
        <v>120</v>
      </c>
      <c r="H626">
        <v>960</v>
      </c>
      <c r="I626">
        <v>0</v>
      </c>
      <c r="J626">
        <v>268.43</v>
      </c>
      <c r="K626" t="s">
        <v>26</v>
      </c>
      <c r="L626" t="s">
        <v>23</v>
      </c>
    </row>
    <row r="627" spans="1:12" x14ac:dyDescent="0.3">
      <c r="A627" t="s">
        <v>671</v>
      </c>
      <c r="B627" s="1">
        <v>45847</v>
      </c>
      <c r="C627" t="s">
        <v>56</v>
      </c>
      <c r="D627" t="s">
        <v>36</v>
      </c>
      <c r="E627" t="s">
        <v>37</v>
      </c>
      <c r="F627">
        <v>8</v>
      </c>
      <c r="G627">
        <v>12000</v>
      </c>
      <c r="H627">
        <v>91200</v>
      </c>
      <c r="I627">
        <v>0.05</v>
      </c>
      <c r="J627">
        <v>14143.51</v>
      </c>
      <c r="K627" t="s">
        <v>16</v>
      </c>
      <c r="L627" t="s">
        <v>17</v>
      </c>
    </row>
    <row r="628" spans="1:12" x14ac:dyDescent="0.3">
      <c r="A628" t="s">
        <v>672</v>
      </c>
      <c r="B628" s="1">
        <v>45994</v>
      </c>
      <c r="C628" t="s">
        <v>56</v>
      </c>
      <c r="D628" t="s">
        <v>30</v>
      </c>
      <c r="E628" t="s">
        <v>82</v>
      </c>
      <c r="F628">
        <v>4</v>
      </c>
      <c r="G628">
        <v>250</v>
      </c>
      <c r="H628">
        <v>900</v>
      </c>
      <c r="I628">
        <v>0.1</v>
      </c>
      <c r="J628">
        <v>297.67</v>
      </c>
      <c r="K628" t="s">
        <v>26</v>
      </c>
      <c r="L628" t="s">
        <v>17</v>
      </c>
    </row>
    <row r="629" spans="1:12" x14ac:dyDescent="0.3">
      <c r="A629" t="s">
        <v>673</v>
      </c>
      <c r="B629" s="1">
        <v>45878</v>
      </c>
      <c r="C629" t="s">
        <v>19</v>
      </c>
      <c r="D629" t="s">
        <v>36</v>
      </c>
      <c r="E629" t="s">
        <v>37</v>
      </c>
      <c r="F629">
        <v>10</v>
      </c>
      <c r="G629">
        <v>1800</v>
      </c>
      <c r="H629">
        <v>16200</v>
      </c>
      <c r="I629">
        <v>0.1</v>
      </c>
      <c r="J629">
        <v>4273.41</v>
      </c>
      <c r="K629" t="s">
        <v>26</v>
      </c>
      <c r="L629" t="s">
        <v>17</v>
      </c>
    </row>
    <row r="630" spans="1:12" x14ac:dyDescent="0.3">
      <c r="A630" t="s">
        <v>674</v>
      </c>
      <c r="B630" s="1">
        <v>45717</v>
      </c>
      <c r="C630" t="s">
        <v>13</v>
      </c>
      <c r="D630" t="s">
        <v>14</v>
      </c>
      <c r="E630" t="s">
        <v>65</v>
      </c>
      <c r="F630">
        <v>1</v>
      </c>
      <c r="G630">
        <v>700</v>
      </c>
      <c r="H630">
        <v>665</v>
      </c>
      <c r="I630">
        <v>0.05</v>
      </c>
      <c r="J630">
        <v>178.7</v>
      </c>
      <c r="K630" t="s">
        <v>22</v>
      </c>
      <c r="L630" t="s">
        <v>23</v>
      </c>
    </row>
    <row r="631" spans="1:12" x14ac:dyDescent="0.3">
      <c r="A631" t="s">
        <v>675</v>
      </c>
      <c r="B631" s="1">
        <v>45907</v>
      </c>
      <c r="C631" t="s">
        <v>56</v>
      </c>
      <c r="D631" t="s">
        <v>14</v>
      </c>
      <c r="E631" t="s">
        <v>51</v>
      </c>
      <c r="F631">
        <v>2</v>
      </c>
      <c r="G631">
        <v>2500</v>
      </c>
      <c r="H631">
        <v>4000</v>
      </c>
      <c r="I631">
        <v>0.2</v>
      </c>
      <c r="J631">
        <v>489.07</v>
      </c>
      <c r="K631" t="s">
        <v>22</v>
      </c>
      <c r="L631" t="s">
        <v>23</v>
      </c>
    </row>
    <row r="632" spans="1:12" x14ac:dyDescent="0.3">
      <c r="A632" t="s">
        <v>676</v>
      </c>
      <c r="B632" s="1">
        <v>45675</v>
      </c>
      <c r="C632" t="s">
        <v>19</v>
      </c>
      <c r="D632" t="s">
        <v>36</v>
      </c>
      <c r="E632" t="s">
        <v>37</v>
      </c>
      <c r="F632">
        <v>3</v>
      </c>
      <c r="G632">
        <v>1800</v>
      </c>
      <c r="H632">
        <v>4860</v>
      </c>
      <c r="I632">
        <v>0.1</v>
      </c>
      <c r="J632">
        <v>654.99</v>
      </c>
      <c r="K632" t="s">
        <v>16</v>
      </c>
      <c r="L632" t="s">
        <v>17</v>
      </c>
    </row>
    <row r="633" spans="1:12" x14ac:dyDescent="0.3">
      <c r="A633" t="s">
        <v>677</v>
      </c>
      <c r="B633" s="1">
        <v>45799</v>
      </c>
      <c r="C633" t="s">
        <v>19</v>
      </c>
      <c r="D633" t="s">
        <v>30</v>
      </c>
      <c r="E633" t="s">
        <v>47</v>
      </c>
      <c r="F633">
        <v>6</v>
      </c>
      <c r="G633">
        <v>450</v>
      </c>
      <c r="H633">
        <v>2700</v>
      </c>
      <c r="I633">
        <v>0</v>
      </c>
      <c r="J633">
        <v>773.83</v>
      </c>
      <c r="K633" t="s">
        <v>16</v>
      </c>
      <c r="L633" t="s">
        <v>17</v>
      </c>
    </row>
    <row r="634" spans="1:12" x14ac:dyDescent="0.3">
      <c r="A634" t="s">
        <v>678</v>
      </c>
      <c r="B634" s="1">
        <v>45798</v>
      </c>
      <c r="C634" t="s">
        <v>13</v>
      </c>
      <c r="D634" t="s">
        <v>14</v>
      </c>
      <c r="E634" t="s">
        <v>105</v>
      </c>
      <c r="F634">
        <v>9</v>
      </c>
      <c r="G634">
        <v>14000</v>
      </c>
      <c r="H634">
        <v>119700</v>
      </c>
      <c r="I634">
        <v>0.05</v>
      </c>
      <c r="J634">
        <v>45468.09</v>
      </c>
      <c r="K634" t="s">
        <v>26</v>
      </c>
      <c r="L634" t="s">
        <v>23</v>
      </c>
    </row>
    <row r="635" spans="1:12" x14ac:dyDescent="0.3">
      <c r="A635" t="s">
        <v>679</v>
      </c>
      <c r="B635" s="1">
        <v>45928</v>
      </c>
      <c r="C635" t="s">
        <v>28</v>
      </c>
      <c r="D635" t="s">
        <v>36</v>
      </c>
      <c r="E635" t="s">
        <v>37</v>
      </c>
      <c r="F635">
        <v>2</v>
      </c>
      <c r="G635">
        <v>12000</v>
      </c>
      <c r="H635">
        <v>22800</v>
      </c>
      <c r="I635">
        <v>0.05</v>
      </c>
      <c r="J635">
        <v>8635.92</v>
      </c>
      <c r="K635" t="s">
        <v>16</v>
      </c>
      <c r="L635" t="s">
        <v>32</v>
      </c>
    </row>
    <row r="636" spans="1:12" x14ac:dyDescent="0.3">
      <c r="A636" t="s">
        <v>680</v>
      </c>
      <c r="B636" s="1">
        <v>46015</v>
      </c>
      <c r="C636" t="s">
        <v>28</v>
      </c>
      <c r="D636" t="s">
        <v>14</v>
      </c>
      <c r="E636" t="s">
        <v>15</v>
      </c>
      <c r="F636">
        <v>2</v>
      </c>
      <c r="G636">
        <v>1200</v>
      </c>
      <c r="H636">
        <v>2040</v>
      </c>
      <c r="I636">
        <v>0.15</v>
      </c>
      <c r="J636">
        <v>421.1</v>
      </c>
      <c r="K636" t="s">
        <v>22</v>
      </c>
      <c r="L636" t="s">
        <v>32</v>
      </c>
    </row>
    <row r="637" spans="1:12" x14ac:dyDescent="0.3">
      <c r="A637" t="s">
        <v>681</v>
      </c>
      <c r="B637" s="1">
        <v>45936</v>
      </c>
      <c r="C637" t="s">
        <v>28</v>
      </c>
      <c r="D637" t="s">
        <v>30</v>
      </c>
      <c r="E637" t="s">
        <v>47</v>
      </c>
      <c r="F637">
        <v>4</v>
      </c>
      <c r="G637">
        <v>450</v>
      </c>
      <c r="H637">
        <v>1440</v>
      </c>
      <c r="I637">
        <v>0.2</v>
      </c>
      <c r="J637">
        <v>3.62</v>
      </c>
      <c r="K637" t="s">
        <v>22</v>
      </c>
      <c r="L637" t="s">
        <v>23</v>
      </c>
    </row>
    <row r="638" spans="1:12" x14ac:dyDescent="0.3">
      <c r="A638" t="s">
        <v>682</v>
      </c>
      <c r="B638" s="1">
        <v>45755</v>
      </c>
      <c r="C638" t="s">
        <v>19</v>
      </c>
      <c r="D638" t="s">
        <v>14</v>
      </c>
      <c r="E638" t="s">
        <v>105</v>
      </c>
      <c r="F638">
        <v>8</v>
      </c>
      <c r="G638">
        <v>14000</v>
      </c>
      <c r="H638">
        <v>100800</v>
      </c>
      <c r="I638">
        <v>0.1</v>
      </c>
      <c r="J638">
        <v>32529.05</v>
      </c>
      <c r="K638" t="s">
        <v>26</v>
      </c>
      <c r="L638" t="s">
        <v>23</v>
      </c>
    </row>
    <row r="639" spans="1:12" x14ac:dyDescent="0.3">
      <c r="A639" t="s">
        <v>683</v>
      </c>
      <c r="B639" s="1">
        <v>45851</v>
      </c>
      <c r="C639" t="s">
        <v>28</v>
      </c>
      <c r="D639" t="s">
        <v>14</v>
      </c>
      <c r="E639" t="s">
        <v>15</v>
      </c>
      <c r="F639">
        <v>7</v>
      </c>
      <c r="G639">
        <v>1200</v>
      </c>
      <c r="H639">
        <v>7560</v>
      </c>
      <c r="I639">
        <v>0.1</v>
      </c>
      <c r="J639">
        <v>2562.62</v>
      </c>
      <c r="K639" t="s">
        <v>22</v>
      </c>
      <c r="L639" t="s">
        <v>17</v>
      </c>
    </row>
    <row r="640" spans="1:12" x14ac:dyDescent="0.3">
      <c r="A640" t="s">
        <v>684</v>
      </c>
      <c r="B640" s="1">
        <v>45890</v>
      </c>
      <c r="C640" t="s">
        <v>56</v>
      </c>
      <c r="D640" t="s">
        <v>14</v>
      </c>
      <c r="E640" t="s">
        <v>105</v>
      </c>
      <c r="F640">
        <v>3</v>
      </c>
      <c r="G640">
        <v>14000</v>
      </c>
      <c r="H640">
        <v>42000</v>
      </c>
      <c r="I640">
        <v>0</v>
      </c>
      <c r="J640">
        <v>13224.64</v>
      </c>
      <c r="K640" t="s">
        <v>22</v>
      </c>
      <c r="L640" t="s">
        <v>17</v>
      </c>
    </row>
    <row r="641" spans="1:12" x14ac:dyDescent="0.3">
      <c r="A641" t="s">
        <v>685</v>
      </c>
      <c r="B641" s="1">
        <v>45721</v>
      </c>
      <c r="C641" t="s">
        <v>35</v>
      </c>
      <c r="D641" t="s">
        <v>20</v>
      </c>
      <c r="E641" t="s">
        <v>39</v>
      </c>
      <c r="F641">
        <v>2</v>
      </c>
      <c r="G641">
        <v>2800</v>
      </c>
      <c r="H641">
        <v>4760</v>
      </c>
      <c r="I641">
        <v>0.15</v>
      </c>
      <c r="J641">
        <v>-387.15</v>
      </c>
      <c r="K641" t="s">
        <v>26</v>
      </c>
      <c r="L641" t="s">
        <v>23</v>
      </c>
    </row>
    <row r="642" spans="1:12" x14ac:dyDescent="0.3">
      <c r="A642" t="s">
        <v>686</v>
      </c>
      <c r="B642" s="1">
        <v>45834</v>
      </c>
      <c r="C642" t="s">
        <v>56</v>
      </c>
      <c r="D642" t="s">
        <v>90</v>
      </c>
      <c r="E642" t="s">
        <v>54</v>
      </c>
      <c r="F642">
        <v>1</v>
      </c>
      <c r="G642">
        <v>7000</v>
      </c>
      <c r="H642">
        <v>6300</v>
      </c>
      <c r="I642">
        <v>0.1</v>
      </c>
      <c r="J642">
        <v>893.05</v>
      </c>
      <c r="K642" t="s">
        <v>16</v>
      </c>
      <c r="L642" t="s">
        <v>32</v>
      </c>
    </row>
    <row r="643" spans="1:12" x14ac:dyDescent="0.3">
      <c r="A643" t="s">
        <v>687</v>
      </c>
      <c r="B643" s="1">
        <v>45713</v>
      </c>
      <c r="C643" t="s">
        <v>13</v>
      </c>
      <c r="D643" t="s">
        <v>36</v>
      </c>
      <c r="E643" t="s">
        <v>54</v>
      </c>
      <c r="F643">
        <v>3</v>
      </c>
      <c r="G643">
        <v>7000</v>
      </c>
      <c r="H643">
        <v>17850</v>
      </c>
      <c r="I643">
        <v>0.15</v>
      </c>
      <c r="J643">
        <v>3303.53</v>
      </c>
      <c r="K643" t="s">
        <v>16</v>
      </c>
      <c r="L643" t="s">
        <v>32</v>
      </c>
    </row>
    <row r="644" spans="1:12" x14ac:dyDescent="0.3">
      <c r="A644" t="s">
        <v>688</v>
      </c>
      <c r="B644" s="1">
        <v>45873</v>
      </c>
      <c r="C644" t="s">
        <v>28</v>
      </c>
      <c r="D644" t="s">
        <v>20</v>
      </c>
      <c r="E644" t="s">
        <v>97</v>
      </c>
      <c r="F644">
        <v>4</v>
      </c>
      <c r="G644">
        <v>400</v>
      </c>
      <c r="H644">
        <v>1280</v>
      </c>
      <c r="I644">
        <v>0.2</v>
      </c>
      <c r="J644">
        <v>185.21</v>
      </c>
      <c r="K644" t="s">
        <v>16</v>
      </c>
      <c r="L644" t="s">
        <v>32</v>
      </c>
    </row>
    <row r="645" spans="1:12" x14ac:dyDescent="0.3">
      <c r="A645" t="s">
        <v>689</v>
      </c>
      <c r="B645" s="1">
        <v>45881</v>
      </c>
      <c r="C645" t="s">
        <v>19</v>
      </c>
      <c r="D645" t="s">
        <v>30</v>
      </c>
      <c r="E645" t="s">
        <v>82</v>
      </c>
      <c r="F645">
        <v>3</v>
      </c>
      <c r="G645">
        <v>250</v>
      </c>
      <c r="H645">
        <v>712.5</v>
      </c>
      <c r="I645">
        <v>0.05</v>
      </c>
      <c r="J645">
        <v>292.63</v>
      </c>
      <c r="K645" t="s">
        <v>26</v>
      </c>
      <c r="L645" t="s">
        <v>32</v>
      </c>
    </row>
    <row r="646" spans="1:12" x14ac:dyDescent="0.3">
      <c r="A646" t="s">
        <v>690</v>
      </c>
      <c r="B646" s="1">
        <v>45792</v>
      </c>
      <c r="C646" t="s">
        <v>56</v>
      </c>
      <c r="D646" t="s">
        <v>36</v>
      </c>
      <c r="E646" t="s">
        <v>91</v>
      </c>
      <c r="F646">
        <v>6</v>
      </c>
      <c r="G646">
        <v>8500</v>
      </c>
      <c r="H646">
        <v>45900</v>
      </c>
      <c r="I646">
        <v>0.1</v>
      </c>
      <c r="J646">
        <v>15788.08</v>
      </c>
      <c r="K646" t="s">
        <v>16</v>
      </c>
      <c r="L646" t="s">
        <v>17</v>
      </c>
    </row>
    <row r="647" spans="1:12" x14ac:dyDescent="0.3">
      <c r="A647" t="s">
        <v>691</v>
      </c>
      <c r="B647" s="1">
        <v>45966</v>
      </c>
      <c r="C647" t="s">
        <v>28</v>
      </c>
      <c r="D647" t="s">
        <v>30</v>
      </c>
      <c r="E647" t="s">
        <v>41</v>
      </c>
      <c r="F647">
        <v>10</v>
      </c>
      <c r="G647">
        <v>600</v>
      </c>
      <c r="H647">
        <v>5700</v>
      </c>
      <c r="I647">
        <v>0.05</v>
      </c>
      <c r="J647">
        <v>1858.6</v>
      </c>
      <c r="K647" t="s">
        <v>22</v>
      </c>
      <c r="L647" t="s">
        <v>17</v>
      </c>
    </row>
    <row r="648" spans="1:12" x14ac:dyDescent="0.3">
      <c r="A648" t="s">
        <v>692</v>
      </c>
      <c r="B648" s="1">
        <v>45742</v>
      </c>
      <c r="C648" t="s">
        <v>90</v>
      </c>
      <c r="D648" t="s">
        <v>14</v>
      </c>
      <c r="E648" t="s">
        <v>43</v>
      </c>
      <c r="F648">
        <v>10</v>
      </c>
      <c r="G648">
        <v>65000</v>
      </c>
      <c r="H648">
        <v>520000</v>
      </c>
      <c r="I648">
        <v>0.2</v>
      </c>
      <c r="J648">
        <v>85308.88</v>
      </c>
      <c r="K648" t="s">
        <v>22</v>
      </c>
      <c r="L648" t="s">
        <v>23</v>
      </c>
    </row>
    <row r="649" spans="1:12" x14ac:dyDescent="0.3">
      <c r="A649" t="s">
        <v>693</v>
      </c>
      <c r="B649" s="1">
        <v>45967</v>
      </c>
      <c r="C649" t="s">
        <v>19</v>
      </c>
      <c r="D649" t="s">
        <v>30</v>
      </c>
      <c r="E649" t="s">
        <v>41</v>
      </c>
      <c r="F649">
        <v>6</v>
      </c>
      <c r="G649">
        <v>600</v>
      </c>
      <c r="H649">
        <v>3600</v>
      </c>
      <c r="I649">
        <v>0</v>
      </c>
      <c r="J649">
        <v>990.97</v>
      </c>
      <c r="K649" t="s">
        <v>22</v>
      </c>
      <c r="L649" t="s">
        <v>23</v>
      </c>
    </row>
    <row r="650" spans="1:12" x14ac:dyDescent="0.3">
      <c r="A650" t="s">
        <v>694</v>
      </c>
      <c r="B650" s="1">
        <v>45845</v>
      </c>
      <c r="C650" t="s">
        <v>19</v>
      </c>
      <c r="D650" t="s">
        <v>14</v>
      </c>
      <c r="E650" t="s">
        <v>51</v>
      </c>
      <c r="F650">
        <v>1</v>
      </c>
      <c r="G650">
        <v>2500</v>
      </c>
      <c r="H650">
        <v>2000</v>
      </c>
      <c r="I650">
        <v>0.2</v>
      </c>
      <c r="J650">
        <v>583.19000000000005</v>
      </c>
      <c r="K650" t="s">
        <v>22</v>
      </c>
      <c r="L650" t="s">
        <v>23</v>
      </c>
    </row>
    <row r="651" spans="1:12" x14ac:dyDescent="0.3">
      <c r="A651" t="s">
        <v>695</v>
      </c>
      <c r="B651" s="1">
        <v>45872</v>
      </c>
      <c r="C651" t="s">
        <v>28</v>
      </c>
      <c r="D651" t="s">
        <v>30</v>
      </c>
      <c r="E651" t="s">
        <v>82</v>
      </c>
      <c r="F651">
        <v>9</v>
      </c>
      <c r="G651">
        <v>250</v>
      </c>
      <c r="H651">
        <v>1800</v>
      </c>
      <c r="I651">
        <v>0.2</v>
      </c>
      <c r="J651">
        <v>148.82</v>
      </c>
      <c r="K651" t="s">
        <v>26</v>
      </c>
      <c r="L651" t="s">
        <v>17</v>
      </c>
    </row>
    <row r="652" spans="1:12" x14ac:dyDescent="0.3">
      <c r="A652" t="s">
        <v>696</v>
      </c>
      <c r="B652" s="1">
        <v>45846</v>
      </c>
      <c r="C652" t="s">
        <v>56</v>
      </c>
      <c r="D652" t="s">
        <v>36</v>
      </c>
      <c r="E652" t="s">
        <v>37</v>
      </c>
      <c r="F652">
        <v>3</v>
      </c>
      <c r="G652">
        <v>1800</v>
      </c>
      <c r="H652">
        <v>4860</v>
      </c>
      <c r="I652">
        <v>0.1</v>
      </c>
      <c r="J652">
        <v>1359.13</v>
      </c>
      <c r="K652" t="s">
        <v>22</v>
      </c>
      <c r="L652" t="s">
        <v>17</v>
      </c>
    </row>
    <row r="653" spans="1:12" x14ac:dyDescent="0.3">
      <c r="A653" t="s">
        <v>697</v>
      </c>
      <c r="B653" s="1">
        <v>45770</v>
      </c>
      <c r="C653" t="s">
        <v>13</v>
      </c>
      <c r="D653" t="s">
        <v>20</v>
      </c>
      <c r="E653" t="s">
        <v>97</v>
      </c>
      <c r="F653">
        <v>6</v>
      </c>
      <c r="G653">
        <v>400</v>
      </c>
      <c r="H653">
        <v>2160</v>
      </c>
      <c r="I653">
        <v>0.1</v>
      </c>
      <c r="J653">
        <v>711.9</v>
      </c>
      <c r="K653" t="s">
        <v>26</v>
      </c>
      <c r="L653" t="s">
        <v>23</v>
      </c>
    </row>
    <row r="654" spans="1:12" x14ac:dyDescent="0.3">
      <c r="A654" t="s">
        <v>698</v>
      </c>
      <c r="B654" s="1">
        <v>45829</v>
      </c>
      <c r="C654" t="s">
        <v>56</v>
      </c>
      <c r="D654" t="s">
        <v>14</v>
      </c>
      <c r="E654" t="s">
        <v>43</v>
      </c>
      <c r="F654">
        <v>7</v>
      </c>
      <c r="G654">
        <v>65000</v>
      </c>
      <c r="H654">
        <v>455000</v>
      </c>
      <c r="I654">
        <v>0</v>
      </c>
      <c r="J654">
        <v>91896.68</v>
      </c>
      <c r="K654" t="s">
        <v>22</v>
      </c>
      <c r="L654" t="s">
        <v>23</v>
      </c>
    </row>
    <row r="655" spans="1:12" x14ac:dyDescent="0.3">
      <c r="A655" t="s">
        <v>699</v>
      </c>
      <c r="B655" s="1">
        <v>45884</v>
      </c>
      <c r="C655" t="s">
        <v>56</v>
      </c>
      <c r="D655" t="s">
        <v>30</v>
      </c>
      <c r="E655" t="s">
        <v>45</v>
      </c>
      <c r="F655">
        <v>7</v>
      </c>
      <c r="G655">
        <v>180</v>
      </c>
      <c r="H655">
        <v>1071</v>
      </c>
      <c r="I655">
        <v>0.15</v>
      </c>
      <c r="J655">
        <v>118.28</v>
      </c>
      <c r="K655" t="s">
        <v>26</v>
      </c>
      <c r="L655" t="s">
        <v>23</v>
      </c>
    </row>
    <row r="656" spans="1:12" x14ac:dyDescent="0.3">
      <c r="A656" t="s">
        <v>700</v>
      </c>
      <c r="B656" s="1">
        <v>45828</v>
      </c>
      <c r="C656" t="s">
        <v>90</v>
      </c>
      <c r="D656" t="s">
        <v>30</v>
      </c>
      <c r="E656" t="s">
        <v>47</v>
      </c>
      <c r="F656">
        <v>9</v>
      </c>
      <c r="G656">
        <v>450</v>
      </c>
      <c r="H656">
        <v>3240</v>
      </c>
      <c r="I656">
        <v>0.2</v>
      </c>
      <c r="J656">
        <v>551.88</v>
      </c>
      <c r="K656" t="s">
        <v>22</v>
      </c>
      <c r="L656" t="s">
        <v>17</v>
      </c>
    </row>
    <row r="657" spans="1:12" x14ac:dyDescent="0.3">
      <c r="A657" t="s">
        <v>701</v>
      </c>
      <c r="B657" s="1">
        <v>45719</v>
      </c>
      <c r="C657" t="s">
        <v>56</v>
      </c>
      <c r="D657" t="s">
        <v>14</v>
      </c>
      <c r="E657" t="s">
        <v>65</v>
      </c>
      <c r="F657">
        <v>5</v>
      </c>
      <c r="G657">
        <v>700</v>
      </c>
      <c r="H657">
        <v>3500</v>
      </c>
      <c r="I657">
        <v>0</v>
      </c>
      <c r="J657">
        <v>1512.69</v>
      </c>
      <c r="K657" t="s">
        <v>22</v>
      </c>
      <c r="L657" t="s">
        <v>32</v>
      </c>
    </row>
    <row r="658" spans="1:12" x14ac:dyDescent="0.3">
      <c r="A658" t="s">
        <v>702</v>
      </c>
      <c r="B658" s="1">
        <v>45915</v>
      </c>
      <c r="C658" t="s">
        <v>56</v>
      </c>
      <c r="D658" t="s">
        <v>20</v>
      </c>
      <c r="E658" t="s">
        <v>39</v>
      </c>
      <c r="F658">
        <v>9</v>
      </c>
      <c r="G658">
        <v>2800</v>
      </c>
      <c r="H658">
        <v>21420</v>
      </c>
      <c r="I658">
        <v>0.15</v>
      </c>
      <c r="J658">
        <v>5544.82</v>
      </c>
      <c r="K658" t="s">
        <v>26</v>
      </c>
      <c r="L658" t="s">
        <v>17</v>
      </c>
    </row>
    <row r="659" spans="1:12" x14ac:dyDescent="0.3">
      <c r="A659" t="s">
        <v>703</v>
      </c>
      <c r="B659" s="1">
        <v>45915</v>
      </c>
      <c r="C659" t="s">
        <v>28</v>
      </c>
      <c r="D659" t="s">
        <v>14</v>
      </c>
      <c r="E659" t="s">
        <v>43</v>
      </c>
      <c r="F659">
        <v>9</v>
      </c>
      <c r="G659">
        <v>65000</v>
      </c>
      <c r="H659">
        <v>526500</v>
      </c>
      <c r="I659">
        <v>0.1</v>
      </c>
      <c r="J659">
        <v>186642.63</v>
      </c>
      <c r="K659" t="s">
        <v>26</v>
      </c>
      <c r="L659" t="s">
        <v>17</v>
      </c>
    </row>
    <row r="660" spans="1:12" x14ac:dyDescent="0.3">
      <c r="A660" t="s">
        <v>704</v>
      </c>
      <c r="B660" s="1">
        <v>45762</v>
      </c>
      <c r="C660" t="s">
        <v>19</v>
      </c>
      <c r="D660" t="s">
        <v>20</v>
      </c>
      <c r="E660" t="s">
        <v>21</v>
      </c>
      <c r="F660">
        <v>4</v>
      </c>
      <c r="G660">
        <v>650</v>
      </c>
      <c r="H660">
        <v>2210</v>
      </c>
      <c r="I660">
        <v>0.15</v>
      </c>
      <c r="J660">
        <v>555.75</v>
      </c>
      <c r="K660" t="s">
        <v>26</v>
      </c>
      <c r="L660" t="s">
        <v>32</v>
      </c>
    </row>
    <row r="661" spans="1:12" x14ac:dyDescent="0.3">
      <c r="A661" t="s">
        <v>705</v>
      </c>
      <c r="B661" s="1">
        <v>45752</v>
      </c>
      <c r="C661" t="s">
        <v>28</v>
      </c>
      <c r="D661" t="s">
        <v>20</v>
      </c>
      <c r="E661" t="s">
        <v>21</v>
      </c>
      <c r="F661">
        <v>8</v>
      </c>
      <c r="G661">
        <v>650</v>
      </c>
      <c r="H661">
        <v>4160</v>
      </c>
      <c r="I661">
        <v>0.2</v>
      </c>
      <c r="J661">
        <v>888.68</v>
      </c>
      <c r="K661" t="s">
        <v>22</v>
      </c>
      <c r="L661" t="s">
        <v>32</v>
      </c>
    </row>
    <row r="662" spans="1:12" x14ac:dyDescent="0.3">
      <c r="A662" t="s">
        <v>706</v>
      </c>
      <c r="B662" s="1">
        <v>45741</v>
      </c>
      <c r="C662" t="s">
        <v>13</v>
      </c>
      <c r="D662" t="s">
        <v>36</v>
      </c>
      <c r="E662" t="s">
        <v>37</v>
      </c>
      <c r="F662">
        <v>4</v>
      </c>
      <c r="G662">
        <v>12000</v>
      </c>
      <c r="H662">
        <v>40800</v>
      </c>
      <c r="I662">
        <v>0.15</v>
      </c>
      <c r="J662">
        <v>5045.6099999999997</v>
      </c>
      <c r="K662" t="s">
        <v>22</v>
      </c>
      <c r="L662" t="s">
        <v>32</v>
      </c>
    </row>
    <row r="663" spans="1:12" x14ac:dyDescent="0.3">
      <c r="A663" t="s">
        <v>707</v>
      </c>
      <c r="B663" s="1">
        <v>45949</v>
      </c>
      <c r="C663" t="s">
        <v>28</v>
      </c>
      <c r="D663" t="s">
        <v>14</v>
      </c>
      <c r="E663" t="s">
        <v>65</v>
      </c>
      <c r="F663">
        <v>2</v>
      </c>
      <c r="G663">
        <v>700</v>
      </c>
      <c r="H663">
        <v>1260</v>
      </c>
      <c r="I663">
        <v>0.1</v>
      </c>
      <c r="J663">
        <v>157.07</v>
      </c>
      <c r="K663" t="s">
        <v>22</v>
      </c>
      <c r="L663" t="s">
        <v>23</v>
      </c>
    </row>
    <row r="664" spans="1:12" x14ac:dyDescent="0.3">
      <c r="A664" t="s">
        <v>708</v>
      </c>
      <c r="B664" s="1">
        <v>45703</v>
      </c>
      <c r="C664" t="s">
        <v>13</v>
      </c>
      <c r="D664" t="s">
        <v>36</v>
      </c>
      <c r="E664" t="s">
        <v>37</v>
      </c>
      <c r="F664">
        <v>10</v>
      </c>
      <c r="G664">
        <v>1800</v>
      </c>
      <c r="H664">
        <v>16200</v>
      </c>
      <c r="I664">
        <v>0.1</v>
      </c>
      <c r="J664">
        <v>5613.9</v>
      </c>
      <c r="K664" t="s">
        <v>22</v>
      </c>
      <c r="L664" t="s">
        <v>32</v>
      </c>
    </row>
    <row r="665" spans="1:12" x14ac:dyDescent="0.3">
      <c r="A665" t="s">
        <v>709</v>
      </c>
      <c r="B665" s="1">
        <v>45841</v>
      </c>
      <c r="C665" t="s">
        <v>13</v>
      </c>
      <c r="D665" t="s">
        <v>36</v>
      </c>
      <c r="E665" t="s">
        <v>37</v>
      </c>
      <c r="F665">
        <v>5</v>
      </c>
      <c r="G665">
        <v>12000</v>
      </c>
      <c r="H665">
        <v>60000</v>
      </c>
      <c r="I665">
        <v>0</v>
      </c>
      <c r="J665">
        <v>18595.919999999998</v>
      </c>
      <c r="K665" t="s">
        <v>22</v>
      </c>
      <c r="L665" t="s">
        <v>23</v>
      </c>
    </row>
    <row r="666" spans="1:12" x14ac:dyDescent="0.3">
      <c r="A666" t="s">
        <v>710</v>
      </c>
      <c r="B666" s="1">
        <v>45754</v>
      </c>
      <c r="C666" t="s">
        <v>28</v>
      </c>
      <c r="D666" t="s">
        <v>36</v>
      </c>
      <c r="E666" t="s">
        <v>54</v>
      </c>
      <c r="F666">
        <v>1</v>
      </c>
      <c r="G666">
        <v>7000</v>
      </c>
      <c r="H666">
        <v>5600</v>
      </c>
      <c r="I666">
        <v>0.2</v>
      </c>
      <c r="J666">
        <v>1187.19</v>
      </c>
      <c r="K666" t="s">
        <v>26</v>
      </c>
      <c r="L666" t="s">
        <v>17</v>
      </c>
    </row>
    <row r="667" spans="1:12" x14ac:dyDescent="0.3">
      <c r="A667" t="s">
        <v>711</v>
      </c>
      <c r="B667" s="1">
        <v>45861</v>
      </c>
      <c r="C667" t="s">
        <v>13</v>
      </c>
      <c r="D667" t="s">
        <v>14</v>
      </c>
      <c r="E667" t="s">
        <v>65</v>
      </c>
      <c r="F667">
        <v>7</v>
      </c>
      <c r="G667">
        <v>700</v>
      </c>
      <c r="H667">
        <v>4410</v>
      </c>
      <c r="I667">
        <v>0.1</v>
      </c>
      <c r="J667">
        <v>-72.28</v>
      </c>
      <c r="K667" t="s">
        <v>26</v>
      </c>
      <c r="L667" t="s">
        <v>23</v>
      </c>
    </row>
    <row r="668" spans="1:12" x14ac:dyDescent="0.3">
      <c r="A668" t="s">
        <v>712</v>
      </c>
      <c r="B668" s="1">
        <v>46004</v>
      </c>
      <c r="C668" t="s">
        <v>13</v>
      </c>
      <c r="D668" t="s">
        <v>30</v>
      </c>
      <c r="E668" t="s">
        <v>82</v>
      </c>
      <c r="F668">
        <v>1</v>
      </c>
      <c r="G668">
        <v>250</v>
      </c>
      <c r="H668">
        <v>225</v>
      </c>
      <c r="I668">
        <v>0.1</v>
      </c>
      <c r="J668">
        <v>78.59</v>
      </c>
      <c r="K668" t="s">
        <v>22</v>
      </c>
      <c r="L668" t="s">
        <v>17</v>
      </c>
    </row>
    <row r="669" spans="1:12" x14ac:dyDescent="0.3">
      <c r="A669" t="s">
        <v>713</v>
      </c>
      <c r="B669" s="1">
        <v>45858</v>
      </c>
      <c r="C669" t="s">
        <v>19</v>
      </c>
      <c r="D669" t="s">
        <v>20</v>
      </c>
      <c r="E669" t="s">
        <v>84</v>
      </c>
      <c r="F669">
        <v>6</v>
      </c>
      <c r="G669">
        <v>3200</v>
      </c>
      <c r="H669">
        <v>19200</v>
      </c>
      <c r="I669">
        <v>0</v>
      </c>
      <c r="J669">
        <v>8405.74</v>
      </c>
      <c r="K669" t="s">
        <v>26</v>
      </c>
      <c r="L669" t="s">
        <v>17</v>
      </c>
    </row>
    <row r="670" spans="1:12" x14ac:dyDescent="0.3">
      <c r="A670" t="s">
        <v>714</v>
      </c>
      <c r="B670" s="1">
        <v>45775</v>
      </c>
      <c r="C670" t="s">
        <v>35</v>
      </c>
      <c r="D670" t="s">
        <v>30</v>
      </c>
      <c r="E670" t="s">
        <v>31</v>
      </c>
      <c r="F670">
        <v>2</v>
      </c>
      <c r="G670">
        <v>120</v>
      </c>
      <c r="H670">
        <v>204</v>
      </c>
      <c r="I670">
        <v>0.15</v>
      </c>
      <c r="J670">
        <v>-8.09</v>
      </c>
      <c r="K670" t="s">
        <v>22</v>
      </c>
      <c r="L670" t="s">
        <v>23</v>
      </c>
    </row>
    <row r="671" spans="1:12" x14ac:dyDescent="0.3">
      <c r="A671" t="s">
        <v>715</v>
      </c>
      <c r="B671" s="1">
        <v>45834</v>
      </c>
      <c r="C671" t="s">
        <v>56</v>
      </c>
      <c r="D671" t="s">
        <v>30</v>
      </c>
      <c r="E671" t="s">
        <v>47</v>
      </c>
      <c r="F671">
        <v>1</v>
      </c>
      <c r="G671">
        <v>450</v>
      </c>
      <c r="H671">
        <v>405</v>
      </c>
      <c r="I671">
        <v>0.1</v>
      </c>
      <c r="J671">
        <v>-13.76</v>
      </c>
      <c r="K671" t="s">
        <v>26</v>
      </c>
      <c r="L671" t="s">
        <v>17</v>
      </c>
    </row>
    <row r="672" spans="1:12" x14ac:dyDescent="0.3">
      <c r="A672" t="s">
        <v>716</v>
      </c>
      <c r="B672" s="1">
        <v>45961</v>
      </c>
      <c r="C672" t="s">
        <v>19</v>
      </c>
      <c r="D672" t="s">
        <v>30</v>
      </c>
      <c r="E672" t="s">
        <v>82</v>
      </c>
      <c r="F672">
        <v>3</v>
      </c>
      <c r="G672">
        <v>250</v>
      </c>
      <c r="H672">
        <v>675</v>
      </c>
      <c r="I672">
        <v>0.1</v>
      </c>
      <c r="J672">
        <v>114.49</v>
      </c>
      <c r="K672" t="s">
        <v>26</v>
      </c>
      <c r="L672" t="s">
        <v>17</v>
      </c>
    </row>
    <row r="673" spans="1:12" x14ac:dyDescent="0.3">
      <c r="A673" t="s">
        <v>717</v>
      </c>
      <c r="B673" s="1">
        <v>45897</v>
      </c>
      <c r="C673" t="s">
        <v>28</v>
      </c>
      <c r="D673" t="s">
        <v>30</v>
      </c>
      <c r="E673" t="s">
        <v>47</v>
      </c>
      <c r="F673">
        <v>5</v>
      </c>
      <c r="G673">
        <v>450</v>
      </c>
      <c r="H673">
        <v>2137.5</v>
      </c>
      <c r="I673">
        <v>0.05</v>
      </c>
      <c r="J673">
        <v>611.88</v>
      </c>
      <c r="K673" t="s">
        <v>26</v>
      </c>
      <c r="L673" t="s">
        <v>17</v>
      </c>
    </row>
    <row r="674" spans="1:12" x14ac:dyDescent="0.3">
      <c r="A674" t="s">
        <v>718</v>
      </c>
      <c r="B674" s="1">
        <v>45981</v>
      </c>
      <c r="C674" t="s">
        <v>13</v>
      </c>
      <c r="D674" t="s">
        <v>20</v>
      </c>
      <c r="E674" t="s">
        <v>39</v>
      </c>
      <c r="F674">
        <v>5</v>
      </c>
      <c r="G674">
        <v>2800</v>
      </c>
      <c r="H674">
        <v>14000</v>
      </c>
      <c r="I674">
        <v>0</v>
      </c>
      <c r="J674">
        <v>4470.22</v>
      </c>
      <c r="K674" t="s">
        <v>26</v>
      </c>
      <c r="L674" t="s">
        <v>32</v>
      </c>
    </row>
    <row r="675" spans="1:12" x14ac:dyDescent="0.3">
      <c r="A675" t="s">
        <v>719</v>
      </c>
      <c r="B675" s="1">
        <v>45740</v>
      </c>
      <c r="C675" t="s">
        <v>56</v>
      </c>
      <c r="D675" t="s">
        <v>14</v>
      </c>
      <c r="E675" t="s">
        <v>51</v>
      </c>
      <c r="F675">
        <v>8</v>
      </c>
      <c r="G675">
        <v>2500</v>
      </c>
      <c r="H675">
        <v>17000</v>
      </c>
      <c r="I675">
        <v>0.15</v>
      </c>
      <c r="J675">
        <v>804.84</v>
      </c>
      <c r="K675" t="s">
        <v>26</v>
      </c>
      <c r="L675" t="s">
        <v>23</v>
      </c>
    </row>
    <row r="676" spans="1:12" x14ac:dyDescent="0.3">
      <c r="A676" t="s">
        <v>720</v>
      </c>
      <c r="B676" s="1">
        <v>45793</v>
      </c>
      <c r="C676" t="s">
        <v>19</v>
      </c>
      <c r="D676" t="s">
        <v>36</v>
      </c>
      <c r="E676" t="s">
        <v>37</v>
      </c>
      <c r="F676">
        <v>2</v>
      </c>
      <c r="G676">
        <v>1800</v>
      </c>
      <c r="H676">
        <v>2880</v>
      </c>
      <c r="I676">
        <v>0.2</v>
      </c>
      <c r="J676">
        <v>208.09</v>
      </c>
      <c r="K676" t="s">
        <v>22</v>
      </c>
      <c r="L676" t="s">
        <v>17</v>
      </c>
    </row>
    <row r="677" spans="1:12" x14ac:dyDescent="0.3">
      <c r="A677" t="s">
        <v>721</v>
      </c>
      <c r="B677" s="1">
        <v>45839</v>
      </c>
      <c r="C677" t="s">
        <v>56</v>
      </c>
      <c r="D677" t="s">
        <v>30</v>
      </c>
      <c r="E677" t="s">
        <v>82</v>
      </c>
      <c r="F677">
        <v>2</v>
      </c>
      <c r="G677">
        <v>250</v>
      </c>
      <c r="H677">
        <v>400</v>
      </c>
      <c r="I677">
        <v>0.2</v>
      </c>
      <c r="J677">
        <v>29.81</v>
      </c>
      <c r="K677" t="s">
        <v>22</v>
      </c>
      <c r="L677" t="s">
        <v>23</v>
      </c>
    </row>
    <row r="678" spans="1:12" x14ac:dyDescent="0.3">
      <c r="A678" t="s">
        <v>722</v>
      </c>
      <c r="B678" s="1">
        <v>45712</v>
      </c>
      <c r="C678" t="s">
        <v>19</v>
      </c>
      <c r="D678" t="s">
        <v>30</v>
      </c>
      <c r="E678" t="s">
        <v>31</v>
      </c>
      <c r="F678">
        <v>3</v>
      </c>
      <c r="G678">
        <v>120</v>
      </c>
      <c r="H678">
        <v>324</v>
      </c>
      <c r="I678">
        <v>0.1</v>
      </c>
      <c r="J678">
        <v>31.11</v>
      </c>
      <c r="K678" t="s">
        <v>22</v>
      </c>
      <c r="L678" t="s">
        <v>32</v>
      </c>
    </row>
    <row r="679" spans="1:12" x14ac:dyDescent="0.3">
      <c r="A679" t="s">
        <v>723</v>
      </c>
      <c r="B679" s="1">
        <v>45849</v>
      </c>
      <c r="C679" t="s">
        <v>56</v>
      </c>
      <c r="D679" t="s">
        <v>30</v>
      </c>
      <c r="E679" t="s">
        <v>47</v>
      </c>
      <c r="F679">
        <v>7</v>
      </c>
      <c r="G679">
        <v>450</v>
      </c>
      <c r="H679">
        <v>2835</v>
      </c>
      <c r="I679">
        <v>0.1</v>
      </c>
      <c r="J679">
        <v>687.96</v>
      </c>
      <c r="K679" t="s">
        <v>22</v>
      </c>
      <c r="L679" t="s">
        <v>17</v>
      </c>
    </row>
    <row r="680" spans="1:12" x14ac:dyDescent="0.3">
      <c r="A680" t="s">
        <v>724</v>
      </c>
      <c r="B680" s="1">
        <v>45721</v>
      </c>
      <c r="C680" t="s">
        <v>28</v>
      </c>
      <c r="D680" t="s">
        <v>14</v>
      </c>
      <c r="E680" t="s">
        <v>15</v>
      </c>
      <c r="F680">
        <v>5</v>
      </c>
      <c r="G680">
        <v>1200</v>
      </c>
      <c r="H680">
        <v>5100</v>
      </c>
      <c r="I680">
        <v>0.15</v>
      </c>
      <c r="J680">
        <v>350.75</v>
      </c>
      <c r="K680" t="s">
        <v>22</v>
      </c>
      <c r="L680" t="s">
        <v>23</v>
      </c>
    </row>
    <row r="681" spans="1:12" x14ac:dyDescent="0.3">
      <c r="A681" t="s">
        <v>725</v>
      </c>
      <c r="B681" s="1">
        <v>45880</v>
      </c>
      <c r="C681" t="s">
        <v>28</v>
      </c>
      <c r="D681" t="s">
        <v>20</v>
      </c>
      <c r="E681" t="s">
        <v>97</v>
      </c>
      <c r="F681">
        <v>4</v>
      </c>
      <c r="G681">
        <v>400</v>
      </c>
      <c r="H681">
        <v>1600</v>
      </c>
      <c r="I681">
        <v>0</v>
      </c>
      <c r="J681">
        <v>399.51</v>
      </c>
      <c r="K681" t="s">
        <v>16</v>
      </c>
      <c r="L681" t="s">
        <v>17</v>
      </c>
    </row>
    <row r="682" spans="1:12" x14ac:dyDescent="0.3">
      <c r="A682" t="s">
        <v>726</v>
      </c>
      <c r="B682" s="1">
        <v>45972</v>
      </c>
      <c r="C682" t="s">
        <v>28</v>
      </c>
      <c r="D682" t="s">
        <v>14</v>
      </c>
      <c r="E682" t="s">
        <v>25</v>
      </c>
      <c r="F682">
        <v>3</v>
      </c>
      <c r="G682">
        <v>3200</v>
      </c>
      <c r="H682">
        <v>9600</v>
      </c>
      <c r="I682">
        <v>0</v>
      </c>
      <c r="J682">
        <v>4011.42</v>
      </c>
      <c r="K682" t="s">
        <v>16</v>
      </c>
      <c r="L682" t="s">
        <v>32</v>
      </c>
    </row>
    <row r="683" spans="1:12" x14ac:dyDescent="0.3">
      <c r="A683" t="s">
        <v>727</v>
      </c>
      <c r="B683" s="1">
        <v>45836</v>
      </c>
      <c r="C683" t="s">
        <v>19</v>
      </c>
      <c r="D683" t="s">
        <v>20</v>
      </c>
      <c r="E683" t="s">
        <v>84</v>
      </c>
      <c r="F683">
        <v>8</v>
      </c>
      <c r="G683">
        <v>3200</v>
      </c>
      <c r="H683">
        <v>21760</v>
      </c>
      <c r="I683">
        <v>0.15</v>
      </c>
      <c r="J683">
        <v>7201.78</v>
      </c>
      <c r="K683" t="s">
        <v>26</v>
      </c>
      <c r="L683" t="s">
        <v>17</v>
      </c>
    </row>
    <row r="684" spans="1:12" x14ac:dyDescent="0.3">
      <c r="A684" t="s">
        <v>728</v>
      </c>
      <c r="B684" s="1">
        <v>45918</v>
      </c>
      <c r="C684" t="s">
        <v>35</v>
      </c>
      <c r="D684" t="s">
        <v>14</v>
      </c>
      <c r="E684" t="s">
        <v>105</v>
      </c>
      <c r="F684">
        <v>5</v>
      </c>
      <c r="G684">
        <v>14000</v>
      </c>
      <c r="H684">
        <v>70000</v>
      </c>
      <c r="I684">
        <v>0</v>
      </c>
      <c r="J684">
        <v>16390.3</v>
      </c>
      <c r="K684" t="s">
        <v>16</v>
      </c>
      <c r="L684" t="s">
        <v>17</v>
      </c>
    </row>
    <row r="685" spans="1:12" x14ac:dyDescent="0.3">
      <c r="A685" t="s">
        <v>729</v>
      </c>
      <c r="B685" s="1">
        <v>45947</v>
      </c>
      <c r="C685" t="s">
        <v>35</v>
      </c>
      <c r="D685" t="s">
        <v>30</v>
      </c>
      <c r="E685" t="s">
        <v>41</v>
      </c>
      <c r="F685">
        <v>3</v>
      </c>
      <c r="G685">
        <v>600</v>
      </c>
      <c r="H685">
        <v>1530</v>
      </c>
      <c r="I685">
        <v>0.15</v>
      </c>
      <c r="J685">
        <v>153.22</v>
      </c>
      <c r="K685" t="s">
        <v>26</v>
      </c>
      <c r="L685" t="s">
        <v>32</v>
      </c>
    </row>
    <row r="686" spans="1:12" x14ac:dyDescent="0.3">
      <c r="A686" t="s">
        <v>730</v>
      </c>
      <c r="B686" s="1">
        <v>45684</v>
      </c>
      <c r="C686" t="s">
        <v>56</v>
      </c>
      <c r="D686" t="s">
        <v>36</v>
      </c>
      <c r="E686" t="s">
        <v>91</v>
      </c>
      <c r="F686">
        <v>5</v>
      </c>
      <c r="G686">
        <v>8500</v>
      </c>
      <c r="H686">
        <v>38250</v>
      </c>
      <c r="I686">
        <v>0.1</v>
      </c>
      <c r="J686">
        <v>6873.15</v>
      </c>
      <c r="K686" t="s">
        <v>26</v>
      </c>
      <c r="L686" t="s">
        <v>32</v>
      </c>
    </row>
    <row r="687" spans="1:12" x14ac:dyDescent="0.3">
      <c r="A687" t="s">
        <v>731</v>
      </c>
      <c r="B687" s="1">
        <v>45869</v>
      </c>
      <c r="C687" t="s">
        <v>28</v>
      </c>
      <c r="D687" t="s">
        <v>36</v>
      </c>
      <c r="E687" t="s">
        <v>54</v>
      </c>
      <c r="F687">
        <v>7</v>
      </c>
      <c r="G687">
        <v>7000</v>
      </c>
      <c r="H687">
        <v>49000</v>
      </c>
      <c r="I687">
        <v>0</v>
      </c>
      <c r="J687">
        <v>20176.88</v>
      </c>
      <c r="K687" t="s">
        <v>16</v>
      </c>
      <c r="L687" t="s">
        <v>23</v>
      </c>
    </row>
    <row r="688" spans="1:12" x14ac:dyDescent="0.3">
      <c r="A688" t="s">
        <v>732</v>
      </c>
      <c r="B688" s="1">
        <v>45874</v>
      </c>
      <c r="C688" t="s">
        <v>19</v>
      </c>
      <c r="D688" t="s">
        <v>36</v>
      </c>
      <c r="E688" t="s">
        <v>37</v>
      </c>
      <c r="F688">
        <v>8</v>
      </c>
      <c r="G688">
        <v>1800</v>
      </c>
      <c r="H688">
        <v>14400</v>
      </c>
      <c r="I688">
        <v>0</v>
      </c>
      <c r="J688">
        <v>3342.86</v>
      </c>
      <c r="K688" t="s">
        <v>22</v>
      </c>
      <c r="L688" t="s">
        <v>23</v>
      </c>
    </row>
    <row r="689" spans="1:12" x14ac:dyDescent="0.3">
      <c r="A689" t="s">
        <v>733</v>
      </c>
      <c r="B689" s="1">
        <v>45913</v>
      </c>
      <c r="C689" t="s">
        <v>56</v>
      </c>
      <c r="D689" t="s">
        <v>30</v>
      </c>
      <c r="E689" t="s">
        <v>45</v>
      </c>
      <c r="F689">
        <v>2</v>
      </c>
      <c r="G689">
        <v>180</v>
      </c>
      <c r="H689">
        <v>360</v>
      </c>
      <c r="I689">
        <v>0</v>
      </c>
      <c r="J689">
        <v>71.78</v>
      </c>
      <c r="K689" t="s">
        <v>22</v>
      </c>
      <c r="L689" t="s">
        <v>32</v>
      </c>
    </row>
    <row r="690" spans="1:12" x14ac:dyDescent="0.3">
      <c r="A690" t="s">
        <v>734</v>
      </c>
      <c r="B690" s="1">
        <v>45924</v>
      </c>
      <c r="C690" t="s">
        <v>13</v>
      </c>
      <c r="D690" t="s">
        <v>20</v>
      </c>
      <c r="E690" t="s">
        <v>39</v>
      </c>
      <c r="F690">
        <v>2</v>
      </c>
      <c r="G690">
        <v>2800</v>
      </c>
      <c r="H690">
        <v>5600</v>
      </c>
      <c r="I690">
        <v>0</v>
      </c>
      <c r="J690">
        <v>1239.04</v>
      </c>
      <c r="K690" t="s">
        <v>26</v>
      </c>
      <c r="L690" t="s">
        <v>17</v>
      </c>
    </row>
    <row r="691" spans="1:12" x14ac:dyDescent="0.3">
      <c r="A691" t="s">
        <v>735</v>
      </c>
      <c r="B691" s="1">
        <v>45807</v>
      </c>
      <c r="C691" t="s">
        <v>13</v>
      </c>
      <c r="D691" t="s">
        <v>14</v>
      </c>
      <c r="E691" t="s">
        <v>15</v>
      </c>
      <c r="F691">
        <v>2</v>
      </c>
      <c r="G691">
        <v>1200</v>
      </c>
      <c r="H691">
        <v>2280</v>
      </c>
      <c r="I691">
        <v>0.05</v>
      </c>
      <c r="J691">
        <v>618.69000000000005</v>
      </c>
      <c r="K691" t="s">
        <v>26</v>
      </c>
      <c r="L691" t="s">
        <v>32</v>
      </c>
    </row>
    <row r="692" spans="1:12" x14ac:dyDescent="0.3">
      <c r="A692" t="s">
        <v>736</v>
      </c>
      <c r="B692" s="1">
        <v>45689</v>
      </c>
      <c r="C692" t="s">
        <v>19</v>
      </c>
      <c r="D692" t="s">
        <v>36</v>
      </c>
      <c r="E692" t="s">
        <v>54</v>
      </c>
      <c r="F692">
        <v>10</v>
      </c>
      <c r="G692">
        <v>7000</v>
      </c>
      <c r="H692">
        <v>56000</v>
      </c>
      <c r="I692">
        <v>0.2</v>
      </c>
      <c r="J692">
        <v>9917.82</v>
      </c>
      <c r="K692" t="s">
        <v>16</v>
      </c>
      <c r="L692" t="s">
        <v>23</v>
      </c>
    </row>
    <row r="693" spans="1:12" x14ac:dyDescent="0.3">
      <c r="A693" t="s">
        <v>737</v>
      </c>
      <c r="B693" s="1">
        <v>45886</v>
      </c>
      <c r="C693" t="s">
        <v>13</v>
      </c>
      <c r="D693" t="s">
        <v>14</v>
      </c>
      <c r="E693" t="s">
        <v>25</v>
      </c>
      <c r="F693">
        <v>3</v>
      </c>
      <c r="G693">
        <v>3200</v>
      </c>
      <c r="H693">
        <v>9600</v>
      </c>
      <c r="I693">
        <v>0</v>
      </c>
      <c r="J693">
        <v>2424.12</v>
      </c>
      <c r="K693" t="s">
        <v>22</v>
      </c>
      <c r="L693" t="s">
        <v>23</v>
      </c>
    </row>
    <row r="694" spans="1:12" x14ac:dyDescent="0.3">
      <c r="A694" t="s">
        <v>738</v>
      </c>
      <c r="B694" s="1">
        <v>45694</v>
      </c>
      <c r="C694" t="s">
        <v>28</v>
      </c>
      <c r="D694" t="s">
        <v>14</v>
      </c>
      <c r="E694" t="s">
        <v>25</v>
      </c>
      <c r="F694">
        <v>8</v>
      </c>
      <c r="G694">
        <v>3200</v>
      </c>
      <c r="H694">
        <v>23040</v>
      </c>
      <c r="I694">
        <v>0.1</v>
      </c>
      <c r="J694">
        <v>2381.88</v>
      </c>
      <c r="K694" t="s">
        <v>16</v>
      </c>
      <c r="L694" t="s">
        <v>17</v>
      </c>
    </row>
    <row r="695" spans="1:12" x14ac:dyDescent="0.3">
      <c r="A695" t="s">
        <v>739</v>
      </c>
      <c r="B695" s="1">
        <v>45794</v>
      </c>
      <c r="C695" t="s">
        <v>19</v>
      </c>
      <c r="D695" t="s">
        <v>30</v>
      </c>
      <c r="E695" t="s">
        <v>41</v>
      </c>
      <c r="F695">
        <v>6</v>
      </c>
      <c r="G695">
        <v>600</v>
      </c>
      <c r="H695">
        <v>3600</v>
      </c>
      <c r="I695">
        <v>0</v>
      </c>
      <c r="J695">
        <v>667.9</v>
      </c>
      <c r="K695" t="s">
        <v>16</v>
      </c>
      <c r="L695" t="s">
        <v>32</v>
      </c>
    </row>
    <row r="696" spans="1:12" x14ac:dyDescent="0.3">
      <c r="A696" t="s">
        <v>740</v>
      </c>
      <c r="B696" s="1">
        <v>45852</v>
      </c>
      <c r="C696" t="s">
        <v>35</v>
      </c>
      <c r="D696" t="s">
        <v>36</v>
      </c>
      <c r="E696" t="s">
        <v>54</v>
      </c>
      <c r="F696">
        <v>8</v>
      </c>
      <c r="G696">
        <v>7000</v>
      </c>
      <c r="H696">
        <v>50400</v>
      </c>
      <c r="I696">
        <v>0.1</v>
      </c>
      <c r="J696">
        <v>15942.84</v>
      </c>
      <c r="K696" t="s">
        <v>16</v>
      </c>
      <c r="L696" t="s">
        <v>32</v>
      </c>
    </row>
    <row r="697" spans="1:12" x14ac:dyDescent="0.3">
      <c r="A697" t="s">
        <v>741</v>
      </c>
      <c r="B697" s="1">
        <v>45794</v>
      </c>
      <c r="C697" t="s">
        <v>35</v>
      </c>
      <c r="D697" t="s">
        <v>14</v>
      </c>
      <c r="E697" t="s">
        <v>105</v>
      </c>
      <c r="F697">
        <v>1</v>
      </c>
      <c r="G697">
        <v>14000</v>
      </c>
      <c r="H697">
        <v>14000</v>
      </c>
      <c r="I697">
        <v>0</v>
      </c>
      <c r="J697">
        <v>6016.68</v>
      </c>
      <c r="K697" t="s">
        <v>26</v>
      </c>
      <c r="L697" t="s">
        <v>32</v>
      </c>
    </row>
    <row r="698" spans="1:12" x14ac:dyDescent="0.3">
      <c r="A698" t="s">
        <v>742</v>
      </c>
      <c r="B698" s="1">
        <v>45695</v>
      </c>
      <c r="C698" t="s">
        <v>28</v>
      </c>
      <c r="D698" t="s">
        <v>14</v>
      </c>
      <c r="E698" t="s">
        <v>43</v>
      </c>
      <c r="F698">
        <v>5</v>
      </c>
      <c r="G698">
        <v>65000</v>
      </c>
      <c r="H698">
        <v>308750</v>
      </c>
      <c r="I698">
        <v>0.05</v>
      </c>
      <c r="J698">
        <v>110094.15</v>
      </c>
      <c r="K698" t="s">
        <v>26</v>
      </c>
      <c r="L698" t="s">
        <v>17</v>
      </c>
    </row>
    <row r="699" spans="1:12" x14ac:dyDescent="0.3">
      <c r="A699" t="s">
        <v>743</v>
      </c>
      <c r="B699" s="1">
        <v>45945</v>
      </c>
      <c r="C699" t="s">
        <v>56</v>
      </c>
      <c r="D699" t="s">
        <v>20</v>
      </c>
      <c r="E699" t="s">
        <v>21</v>
      </c>
      <c r="F699">
        <v>10</v>
      </c>
      <c r="G699">
        <v>650</v>
      </c>
      <c r="H699">
        <v>5200</v>
      </c>
      <c r="I699">
        <v>0.2</v>
      </c>
      <c r="J699">
        <v>85.78</v>
      </c>
      <c r="K699" t="s">
        <v>22</v>
      </c>
      <c r="L699" t="s">
        <v>32</v>
      </c>
    </row>
    <row r="700" spans="1:12" x14ac:dyDescent="0.3">
      <c r="A700" t="s">
        <v>744</v>
      </c>
      <c r="B700" s="1">
        <v>45985</v>
      </c>
      <c r="C700" t="s">
        <v>56</v>
      </c>
      <c r="D700" t="s">
        <v>20</v>
      </c>
      <c r="E700" t="s">
        <v>21</v>
      </c>
      <c r="F700">
        <v>1</v>
      </c>
      <c r="G700">
        <v>650</v>
      </c>
      <c r="H700">
        <v>650</v>
      </c>
      <c r="I700">
        <v>0</v>
      </c>
      <c r="J700">
        <v>-60.56</v>
      </c>
      <c r="K700" t="s">
        <v>22</v>
      </c>
      <c r="L700" t="s">
        <v>17</v>
      </c>
    </row>
    <row r="701" spans="1:12" x14ac:dyDescent="0.3">
      <c r="A701" t="s">
        <v>745</v>
      </c>
      <c r="B701" s="1">
        <v>45837</v>
      </c>
      <c r="C701" t="s">
        <v>56</v>
      </c>
      <c r="D701" t="s">
        <v>36</v>
      </c>
      <c r="E701" t="s">
        <v>37</v>
      </c>
      <c r="F701">
        <v>6</v>
      </c>
      <c r="G701">
        <v>1800</v>
      </c>
      <c r="H701">
        <v>9180</v>
      </c>
      <c r="I701">
        <v>0.15</v>
      </c>
      <c r="J701">
        <v>-266.85000000000002</v>
      </c>
      <c r="K701" t="s">
        <v>22</v>
      </c>
      <c r="L701" t="s">
        <v>32</v>
      </c>
    </row>
    <row r="702" spans="1:12" x14ac:dyDescent="0.3">
      <c r="A702" t="s">
        <v>746</v>
      </c>
      <c r="B702" s="1">
        <v>45874</v>
      </c>
      <c r="C702" t="s">
        <v>19</v>
      </c>
      <c r="D702" t="s">
        <v>36</v>
      </c>
      <c r="E702" t="s">
        <v>54</v>
      </c>
      <c r="F702">
        <v>10</v>
      </c>
      <c r="G702">
        <v>7000</v>
      </c>
      <c r="H702">
        <v>59500</v>
      </c>
      <c r="I702">
        <v>0.15</v>
      </c>
      <c r="J702">
        <v>17186.560000000001</v>
      </c>
      <c r="K702" t="s">
        <v>26</v>
      </c>
      <c r="L702" t="s">
        <v>23</v>
      </c>
    </row>
    <row r="703" spans="1:12" x14ac:dyDescent="0.3">
      <c r="A703" t="s">
        <v>747</v>
      </c>
      <c r="B703" s="1">
        <v>46017</v>
      </c>
      <c r="C703" t="s">
        <v>13</v>
      </c>
      <c r="D703" t="s">
        <v>14</v>
      </c>
      <c r="E703" t="s">
        <v>43</v>
      </c>
      <c r="F703">
        <v>2</v>
      </c>
      <c r="G703">
        <v>65000</v>
      </c>
      <c r="H703">
        <v>104000</v>
      </c>
      <c r="I703">
        <v>0.2</v>
      </c>
      <c r="J703">
        <v>-1467.45</v>
      </c>
      <c r="K703" t="s">
        <v>26</v>
      </c>
      <c r="L703" t="s">
        <v>32</v>
      </c>
    </row>
    <row r="704" spans="1:12" x14ac:dyDescent="0.3">
      <c r="A704" t="s">
        <v>748</v>
      </c>
      <c r="B704" s="1">
        <v>45990</v>
      </c>
      <c r="C704" t="s">
        <v>19</v>
      </c>
      <c r="D704" t="s">
        <v>20</v>
      </c>
      <c r="E704" t="s">
        <v>39</v>
      </c>
      <c r="F704">
        <v>3</v>
      </c>
      <c r="G704">
        <v>2800</v>
      </c>
      <c r="H704">
        <v>8400</v>
      </c>
      <c r="I704">
        <v>0</v>
      </c>
      <c r="J704">
        <v>2232.0100000000002</v>
      </c>
      <c r="K704" t="s">
        <v>22</v>
      </c>
      <c r="L704" t="s">
        <v>32</v>
      </c>
    </row>
    <row r="705" spans="1:12" x14ac:dyDescent="0.3">
      <c r="A705" t="s">
        <v>749</v>
      </c>
      <c r="B705" s="1">
        <v>45911</v>
      </c>
      <c r="C705" t="s">
        <v>28</v>
      </c>
      <c r="D705" t="s">
        <v>30</v>
      </c>
      <c r="E705" t="s">
        <v>31</v>
      </c>
      <c r="F705">
        <v>7</v>
      </c>
      <c r="G705">
        <v>120</v>
      </c>
      <c r="H705">
        <v>672</v>
      </c>
      <c r="I705">
        <v>0.2</v>
      </c>
      <c r="J705">
        <v>157.56</v>
      </c>
      <c r="K705" t="s">
        <v>22</v>
      </c>
      <c r="L705" t="s">
        <v>23</v>
      </c>
    </row>
    <row r="706" spans="1:12" x14ac:dyDescent="0.3">
      <c r="A706" t="s">
        <v>750</v>
      </c>
      <c r="B706" s="1">
        <v>45871</v>
      </c>
      <c r="C706" t="s">
        <v>56</v>
      </c>
      <c r="D706" t="s">
        <v>30</v>
      </c>
      <c r="E706" t="s">
        <v>31</v>
      </c>
      <c r="F706">
        <v>5</v>
      </c>
      <c r="G706">
        <v>120</v>
      </c>
      <c r="H706">
        <v>600</v>
      </c>
      <c r="I706">
        <v>0</v>
      </c>
      <c r="J706">
        <v>131.66999999999999</v>
      </c>
      <c r="K706" t="s">
        <v>22</v>
      </c>
      <c r="L706" t="s">
        <v>32</v>
      </c>
    </row>
    <row r="707" spans="1:12" x14ac:dyDescent="0.3">
      <c r="A707" t="s">
        <v>751</v>
      </c>
      <c r="B707" s="1">
        <v>45809</v>
      </c>
      <c r="C707" t="s">
        <v>19</v>
      </c>
      <c r="D707" t="s">
        <v>36</v>
      </c>
      <c r="E707" t="s">
        <v>37</v>
      </c>
      <c r="F707">
        <v>6</v>
      </c>
      <c r="G707">
        <v>1800</v>
      </c>
      <c r="H707">
        <v>10800</v>
      </c>
      <c r="I707">
        <v>0</v>
      </c>
      <c r="J707">
        <v>4307.8900000000003</v>
      </c>
      <c r="K707" t="s">
        <v>16</v>
      </c>
      <c r="L707" t="s">
        <v>23</v>
      </c>
    </row>
    <row r="708" spans="1:12" x14ac:dyDescent="0.3">
      <c r="A708" t="s">
        <v>752</v>
      </c>
      <c r="B708" s="1">
        <v>45992</v>
      </c>
      <c r="C708" t="s">
        <v>28</v>
      </c>
      <c r="D708" t="s">
        <v>36</v>
      </c>
      <c r="E708" t="s">
        <v>91</v>
      </c>
      <c r="F708">
        <v>9</v>
      </c>
      <c r="G708">
        <v>8500</v>
      </c>
      <c r="H708">
        <v>72675</v>
      </c>
      <c r="I708">
        <v>0.05</v>
      </c>
      <c r="J708">
        <v>26171.89</v>
      </c>
      <c r="K708" t="s">
        <v>16</v>
      </c>
      <c r="L708" t="s">
        <v>32</v>
      </c>
    </row>
    <row r="709" spans="1:12" x14ac:dyDescent="0.3">
      <c r="A709" t="s">
        <v>753</v>
      </c>
      <c r="B709" s="1">
        <v>45939</v>
      </c>
      <c r="C709" t="s">
        <v>13</v>
      </c>
      <c r="D709" t="s">
        <v>90</v>
      </c>
      <c r="E709" t="s">
        <v>39</v>
      </c>
      <c r="F709">
        <v>1</v>
      </c>
      <c r="G709">
        <v>2800</v>
      </c>
      <c r="H709">
        <v>2800</v>
      </c>
      <c r="I709">
        <v>0</v>
      </c>
      <c r="J709">
        <v>1111.71</v>
      </c>
      <c r="K709" t="s">
        <v>26</v>
      </c>
      <c r="L709" t="s">
        <v>17</v>
      </c>
    </row>
    <row r="710" spans="1:12" x14ac:dyDescent="0.3">
      <c r="A710" t="s">
        <v>754</v>
      </c>
      <c r="B710" s="1">
        <v>45676</v>
      </c>
      <c r="C710" t="s">
        <v>19</v>
      </c>
      <c r="D710" t="s">
        <v>14</v>
      </c>
      <c r="E710" t="s">
        <v>15</v>
      </c>
      <c r="F710">
        <v>1</v>
      </c>
      <c r="G710">
        <v>1200</v>
      </c>
      <c r="H710">
        <v>1200</v>
      </c>
      <c r="I710">
        <v>0</v>
      </c>
      <c r="J710">
        <v>422.51</v>
      </c>
      <c r="K710" t="s">
        <v>16</v>
      </c>
      <c r="L710" t="s">
        <v>23</v>
      </c>
    </row>
    <row r="711" spans="1:12" x14ac:dyDescent="0.3">
      <c r="A711" t="s">
        <v>755</v>
      </c>
      <c r="B711" s="1">
        <v>45876</v>
      </c>
      <c r="C711" t="s">
        <v>35</v>
      </c>
      <c r="D711" t="s">
        <v>14</v>
      </c>
      <c r="E711" t="s">
        <v>65</v>
      </c>
      <c r="F711">
        <v>5</v>
      </c>
      <c r="G711">
        <v>700</v>
      </c>
      <c r="H711">
        <v>3150</v>
      </c>
      <c r="I711">
        <v>0.1</v>
      </c>
      <c r="J711">
        <v>0</v>
      </c>
      <c r="K711" t="s">
        <v>26</v>
      </c>
      <c r="L711" t="s">
        <v>23</v>
      </c>
    </row>
    <row r="712" spans="1:12" x14ac:dyDescent="0.3">
      <c r="A712" t="s">
        <v>756</v>
      </c>
      <c r="B712" s="1">
        <v>45965</v>
      </c>
      <c r="C712" t="s">
        <v>19</v>
      </c>
      <c r="D712" t="s">
        <v>30</v>
      </c>
      <c r="E712" t="s">
        <v>47</v>
      </c>
      <c r="F712">
        <v>2</v>
      </c>
      <c r="G712">
        <v>450</v>
      </c>
      <c r="H712">
        <v>810</v>
      </c>
      <c r="I712">
        <v>0.1</v>
      </c>
      <c r="J712">
        <v>308.12</v>
      </c>
      <c r="K712" t="s">
        <v>22</v>
      </c>
      <c r="L712" t="s">
        <v>32</v>
      </c>
    </row>
    <row r="713" spans="1:12" x14ac:dyDescent="0.3">
      <c r="A713" t="s">
        <v>757</v>
      </c>
      <c r="B713" s="1">
        <v>45974</v>
      </c>
      <c r="C713" t="s">
        <v>56</v>
      </c>
      <c r="D713" t="s">
        <v>30</v>
      </c>
      <c r="E713" t="s">
        <v>82</v>
      </c>
      <c r="F713">
        <v>3</v>
      </c>
      <c r="G713">
        <v>250</v>
      </c>
      <c r="H713">
        <v>712.5</v>
      </c>
      <c r="I713">
        <v>0.05</v>
      </c>
      <c r="J713">
        <v>177.82</v>
      </c>
      <c r="K713" t="s">
        <v>22</v>
      </c>
      <c r="L713" t="s">
        <v>32</v>
      </c>
    </row>
    <row r="714" spans="1:12" x14ac:dyDescent="0.3">
      <c r="A714" t="s">
        <v>758</v>
      </c>
      <c r="B714" s="1">
        <v>45981</v>
      </c>
      <c r="C714" t="s">
        <v>19</v>
      </c>
      <c r="D714" t="s">
        <v>20</v>
      </c>
      <c r="E714" t="s">
        <v>97</v>
      </c>
      <c r="F714">
        <v>3</v>
      </c>
      <c r="G714">
        <v>400</v>
      </c>
      <c r="H714">
        <v>1200</v>
      </c>
      <c r="I714">
        <v>0</v>
      </c>
      <c r="J714">
        <v>516.95000000000005</v>
      </c>
      <c r="K714" t="s">
        <v>16</v>
      </c>
      <c r="L714" t="s">
        <v>17</v>
      </c>
    </row>
    <row r="715" spans="1:12" x14ac:dyDescent="0.3">
      <c r="A715" t="s">
        <v>759</v>
      </c>
      <c r="B715" s="1">
        <v>45849</v>
      </c>
      <c r="C715" t="s">
        <v>56</v>
      </c>
      <c r="D715" t="s">
        <v>20</v>
      </c>
      <c r="E715" t="s">
        <v>21</v>
      </c>
      <c r="F715">
        <v>2</v>
      </c>
      <c r="G715">
        <v>650</v>
      </c>
      <c r="H715">
        <v>1300</v>
      </c>
      <c r="I715">
        <v>0</v>
      </c>
      <c r="J715">
        <v>474.37</v>
      </c>
      <c r="K715" t="s">
        <v>26</v>
      </c>
      <c r="L715" t="s">
        <v>23</v>
      </c>
    </row>
    <row r="716" spans="1:12" x14ac:dyDescent="0.3">
      <c r="A716" t="s">
        <v>760</v>
      </c>
      <c r="B716" s="1">
        <v>45820</v>
      </c>
      <c r="C716" t="s">
        <v>19</v>
      </c>
      <c r="D716" t="s">
        <v>20</v>
      </c>
      <c r="E716" t="s">
        <v>21</v>
      </c>
      <c r="F716">
        <v>8</v>
      </c>
      <c r="G716">
        <v>650</v>
      </c>
      <c r="H716">
        <v>4420</v>
      </c>
      <c r="I716">
        <v>0.15</v>
      </c>
      <c r="J716">
        <v>1428.77</v>
      </c>
      <c r="K716" t="s">
        <v>16</v>
      </c>
      <c r="L716" t="s">
        <v>23</v>
      </c>
    </row>
    <row r="717" spans="1:12" x14ac:dyDescent="0.3">
      <c r="A717" t="s">
        <v>761</v>
      </c>
      <c r="B717" s="1">
        <v>46009</v>
      </c>
      <c r="C717" t="s">
        <v>28</v>
      </c>
      <c r="D717" t="s">
        <v>30</v>
      </c>
      <c r="E717" t="s">
        <v>82</v>
      </c>
      <c r="F717">
        <v>7</v>
      </c>
      <c r="G717">
        <v>250</v>
      </c>
      <c r="H717">
        <v>1750</v>
      </c>
      <c r="I717">
        <v>0</v>
      </c>
      <c r="J717">
        <v>664.98</v>
      </c>
      <c r="K717" t="s">
        <v>16</v>
      </c>
      <c r="L717" t="s">
        <v>32</v>
      </c>
    </row>
    <row r="718" spans="1:12" x14ac:dyDescent="0.3">
      <c r="A718" t="s">
        <v>762</v>
      </c>
      <c r="B718" s="1">
        <v>45712</v>
      </c>
      <c r="C718" t="s">
        <v>19</v>
      </c>
      <c r="D718" t="s">
        <v>20</v>
      </c>
      <c r="E718" t="s">
        <v>97</v>
      </c>
      <c r="F718">
        <v>3</v>
      </c>
      <c r="G718">
        <v>400</v>
      </c>
      <c r="H718">
        <v>960</v>
      </c>
      <c r="I718">
        <v>0.2</v>
      </c>
      <c r="J718">
        <v>-26.32</v>
      </c>
      <c r="K718" t="s">
        <v>22</v>
      </c>
      <c r="L718" t="s">
        <v>32</v>
      </c>
    </row>
    <row r="719" spans="1:12" x14ac:dyDescent="0.3">
      <c r="A719" t="s">
        <v>763</v>
      </c>
      <c r="B719" s="1">
        <v>45875</v>
      </c>
      <c r="C719" t="s">
        <v>13</v>
      </c>
      <c r="D719" t="s">
        <v>20</v>
      </c>
      <c r="E719" t="s">
        <v>84</v>
      </c>
      <c r="F719">
        <v>2</v>
      </c>
      <c r="G719">
        <v>3200</v>
      </c>
      <c r="H719">
        <v>6080</v>
      </c>
      <c r="I719">
        <v>0.05</v>
      </c>
      <c r="J719">
        <v>2312.9699999999998</v>
      </c>
      <c r="K719" t="s">
        <v>16</v>
      </c>
      <c r="L719" t="s">
        <v>32</v>
      </c>
    </row>
    <row r="720" spans="1:12" x14ac:dyDescent="0.3">
      <c r="A720" t="s">
        <v>764</v>
      </c>
      <c r="B720" s="1">
        <v>45855</v>
      </c>
      <c r="C720" t="s">
        <v>28</v>
      </c>
      <c r="D720" t="s">
        <v>30</v>
      </c>
      <c r="E720" t="s">
        <v>82</v>
      </c>
      <c r="F720">
        <v>6</v>
      </c>
      <c r="G720">
        <v>250</v>
      </c>
      <c r="H720">
        <v>1500</v>
      </c>
      <c r="I720">
        <v>0</v>
      </c>
      <c r="J720">
        <v>631.59</v>
      </c>
      <c r="K720" t="s">
        <v>22</v>
      </c>
      <c r="L720" t="s">
        <v>17</v>
      </c>
    </row>
    <row r="721" spans="1:12" x14ac:dyDescent="0.3">
      <c r="A721" t="s">
        <v>765</v>
      </c>
      <c r="B721" s="1">
        <v>45997</v>
      </c>
      <c r="C721" t="s">
        <v>35</v>
      </c>
      <c r="D721" t="s">
        <v>20</v>
      </c>
      <c r="E721" t="s">
        <v>97</v>
      </c>
      <c r="F721">
        <v>6</v>
      </c>
      <c r="G721">
        <v>400</v>
      </c>
      <c r="H721">
        <v>2400</v>
      </c>
      <c r="I721">
        <v>0</v>
      </c>
      <c r="J721">
        <v>857.26</v>
      </c>
      <c r="K721" t="s">
        <v>22</v>
      </c>
      <c r="L721" t="s">
        <v>23</v>
      </c>
    </row>
    <row r="722" spans="1:12" x14ac:dyDescent="0.3">
      <c r="A722" t="s">
        <v>766</v>
      </c>
      <c r="B722" s="1">
        <v>45698</v>
      </c>
      <c r="C722" t="s">
        <v>28</v>
      </c>
      <c r="D722" t="s">
        <v>30</v>
      </c>
      <c r="E722" t="s">
        <v>47</v>
      </c>
      <c r="F722">
        <v>3</v>
      </c>
      <c r="G722">
        <v>450</v>
      </c>
      <c r="H722">
        <v>1282.5</v>
      </c>
      <c r="I722">
        <v>0.05</v>
      </c>
      <c r="J722">
        <v>528.27</v>
      </c>
      <c r="K722" t="s">
        <v>22</v>
      </c>
      <c r="L722" t="s">
        <v>23</v>
      </c>
    </row>
    <row r="723" spans="1:12" x14ac:dyDescent="0.3">
      <c r="A723" t="s">
        <v>767</v>
      </c>
      <c r="B723" s="1">
        <v>45816</v>
      </c>
      <c r="C723" t="s">
        <v>19</v>
      </c>
      <c r="D723" t="s">
        <v>14</v>
      </c>
      <c r="E723" t="s">
        <v>65</v>
      </c>
      <c r="F723">
        <v>3</v>
      </c>
      <c r="G723">
        <v>700</v>
      </c>
      <c r="H723">
        <v>1890</v>
      </c>
      <c r="I723">
        <v>0.1</v>
      </c>
      <c r="J723">
        <v>653.20000000000005</v>
      </c>
      <c r="K723" t="s">
        <v>26</v>
      </c>
      <c r="L723" t="s">
        <v>32</v>
      </c>
    </row>
    <row r="724" spans="1:12" x14ac:dyDescent="0.3">
      <c r="A724" t="s">
        <v>768</v>
      </c>
      <c r="B724" s="1">
        <v>45725</v>
      </c>
      <c r="C724" t="s">
        <v>56</v>
      </c>
      <c r="D724" t="s">
        <v>20</v>
      </c>
      <c r="E724" t="s">
        <v>97</v>
      </c>
      <c r="F724">
        <v>6</v>
      </c>
      <c r="G724">
        <v>400</v>
      </c>
      <c r="H724">
        <v>2160</v>
      </c>
      <c r="I724">
        <v>0.1</v>
      </c>
      <c r="J724">
        <v>420.91</v>
      </c>
      <c r="K724" t="s">
        <v>26</v>
      </c>
      <c r="L724" t="s">
        <v>32</v>
      </c>
    </row>
    <row r="725" spans="1:12" x14ac:dyDescent="0.3">
      <c r="A725" t="s">
        <v>769</v>
      </c>
      <c r="B725" s="1">
        <v>45818</v>
      </c>
      <c r="C725" t="s">
        <v>19</v>
      </c>
      <c r="D725" t="s">
        <v>30</v>
      </c>
      <c r="E725" t="s">
        <v>47</v>
      </c>
      <c r="F725">
        <v>5</v>
      </c>
      <c r="G725">
        <v>450</v>
      </c>
      <c r="H725">
        <v>2250</v>
      </c>
      <c r="I725">
        <v>0</v>
      </c>
      <c r="J725">
        <v>864.04</v>
      </c>
      <c r="K725" t="s">
        <v>22</v>
      </c>
      <c r="L725" t="s">
        <v>17</v>
      </c>
    </row>
    <row r="726" spans="1:12" x14ac:dyDescent="0.3">
      <c r="A726" t="s">
        <v>770</v>
      </c>
      <c r="B726" s="1">
        <v>45740</v>
      </c>
      <c r="C726" t="s">
        <v>28</v>
      </c>
      <c r="D726" t="s">
        <v>20</v>
      </c>
      <c r="E726" t="s">
        <v>39</v>
      </c>
      <c r="F726">
        <v>7</v>
      </c>
      <c r="G726">
        <v>2800</v>
      </c>
      <c r="H726">
        <v>17640</v>
      </c>
      <c r="I726">
        <v>0.1</v>
      </c>
      <c r="J726">
        <v>3349.23</v>
      </c>
      <c r="K726" t="s">
        <v>16</v>
      </c>
      <c r="L726" t="s">
        <v>32</v>
      </c>
    </row>
    <row r="727" spans="1:12" x14ac:dyDescent="0.3">
      <c r="A727" t="s">
        <v>771</v>
      </c>
      <c r="B727" s="1">
        <v>45933</v>
      </c>
      <c r="C727" t="s">
        <v>13</v>
      </c>
      <c r="D727" t="s">
        <v>20</v>
      </c>
      <c r="E727" t="s">
        <v>39</v>
      </c>
      <c r="F727">
        <v>2</v>
      </c>
      <c r="G727">
        <v>2800</v>
      </c>
      <c r="H727">
        <v>4480</v>
      </c>
      <c r="I727">
        <v>0.2</v>
      </c>
      <c r="J727">
        <v>802.6</v>
      </c>
      <c r="K727" t="s">
        <v>26</v>
      </c>
      <c r="L727" t="s">
        <v>32</v>
      </c>
    </row>
    <row r="728" spans="1:12" x14ac:dyDescent="0.3">
      <c r="A728" t="s">
        <v>772</v>
      </c>
      <c r="B728" s="1">
        <v>45985</v>
      </c>
      <c r="C728" t="s">
        <v>28</v>
      </c>
      <c r="D728" t="s">
        <v>36</v>
      </c>
      <c r="E728" t="s">
        <v>54</v>
      </c>
      <c r="F728">
        <v>3</v>
      </c>
      <c r="G728">
        <v>7000</v>
      </c>
      <c r="H728">
        <v>16800</v>
      </c>
      <c r="I728">
        <v>0.2</v>
      </c>
      <c r="J728">
        <v>2617.9699999999998</v>
      </c>
      <c r="K728" t="s">
        <v>22</v>
      </c>
      <c r="L728" t="s">
        <v>23</v>
      </c>
    </row>
    <row r="729" spans="1:12" x14ac:dyDescent="0.3">
      <c r="A729" t="s">
        <v>773</v>
      </c>
      <c r="B729" s="1">
        <v>45994</v>
      </c>
      <c r="C729" t="s">
        <v>35</v>
      </c>
      <c r="D729" t="s">
        <v>14</v>
      </c>
      <c r="E729" t="s">
        <v>105</v>
      </c>
      <c r="F729">
        <v>9</v>
      </c>
      <c r="G729">
        <v>14000</v>
      </c>
      <c r="H729">
        <v>107100</v>
      </c>
      <c r="I729">
        <v>0.15</v>
      </c>
      <c r="J729">
        <v>24512.98</v>
      </c>
      <c r="K729" t="s">
        <v>26</v>
      </c>
      <c r="L729" t="s">
        <v>17</v>
      </c>
    </row>
    <row r="730" spans="1:12" x14ac:dyDescent="0.3">
      <c r="A730" t="s">
        <v>774</v>
      </c>
      <c r="B730" s="1">
        <v>45764</v>
      </c>
      <c r="C730" t="s">
        <v>19</v>
      </c>
      <c r="D730" t="s">
        <v>36</v>
      </c>
      <c r="E730" t="s">
        <v>91</v>
      </c>
      <c r="F730">
        <v>7</v>
      </c>
      <c r="G730">
        <v>8500</v>
      </c>
      <c r="H730">
        <v>50575</v>
      </c>
      <c r="I730">
        <v>0.15</v>
      </c>
      <c r="J730">
        <v>11457.03</v>
      </c>
      <c r="K730" t="s">
        <v>16</v>
      </c>
      <c r="L730" t="s">
        <v>23</v>
      </c>
    </row>
    <row r="731" spans="1:12" x14ac:dyDescent="0.3">
      <c r="A731" t="s">
        <v>775</v>
      </c>
      <c r="B731" s="1">
        <v>45845</v>
      </c>
      <c r="C731" t="s">
        <v>35</v>
      </c>
      <c r="D731" t="s">
        <v>30</v>
      </c>
      <c r="E731" t="s">
        <v>41</v>
      </c>
      <c r="F731">
        <v>1</v>
      </c>
      <c r="G731">
        <v>600</v>
      </c>
      <c r="H731">
        <v>600</v>
      </c>
      <c r="I731">
        <v>0</v>
      </c>
      <c r="J731">
        <v>112.71</v>
      </c>
      <c r="K731" t="s">
        <v>22</v>
      </c>
      <c r="L731" t="s">
        <v>32</v>
      </c>
    </row>
    <row r="732" spans="1:12" x14ac:dyDescent="0.3">
      <c r="A732" t="s">
        <v>776</v>
      </c>
      <c r="B732" s="1">
        <v>45787</v>
      </c>
      <c r="C732" t="s">
        <v>13</v>
      </c>
      <c r="D732" t="s">
        <v>36</v>
      </c>
      <c r="E732" t="s">
        <v>37</v>
      </c>
      <c r="F732">
        <v>9</v>
      </c>
      <c r="G732">
        <v>12000</v>
      </c>
      <c r="H732">
        <v>108000</v>
      </c>
      <c r="I732">
        <v>0</v>
      </c>
      <c r="J732">
        <v>48458.23</v>
      </c>
      <c r="K732" t="s">
        <v>22</v>
      </c>
      <c r="L732" t="s">
        <v>17</v>
      </c>
    </row>
    <row r="733" spans="1:12" x14ac:dyDescent="0.3">
      <c r="A733" t="s">
        <v>777</v>
      </c>
      <c r="B733" s="1">
        <v>45658</v>
      </c>
      <c r="C733" t="s">
        <v>28</v>
      </c>
      <c r="D733" t="s">
        <v>14</v>
      </c>
      <c r="E733" t="s">
        <v>105</v>
      </c>
      <c r="F733">
        <v>10</v>
      </c>
      <c r="G733">
        <v>14000</v>
      </c>
      <c r="H733">
        <v>140000</v>
      </c>
      <c r="I733">
        <v>0</v>
      </c>
      <c r="J733">
        <v>38419.53</v>
      </c>
      <c r="K733" t="s">
        <v>26</v>
      </c>
      <c r="L733" t="s">
        <v>23</v>
      </c>
    </row>
    <row r="734" spans="1:12" x14ac:dyDescent="0.3">
      <c r="A734" t="s">
        <v>778</v>
      </c>
      <c r="B734" s="1">
        <v>45808</v>
      </c>
      <c r="C734" t="s">
        <v>13</v>
      </c>
      <c r="D734" t="s">
        <v>36</v>
      </c>
      <c r="E734" t="s">
        <v>37</v>
      </c>
      <c r="F734">
        <v>4</v>
      </c>
      <c r="G734">
        <v>12000</v>
      </c>
      <c r="H734">
        <v>48000</v>
      </c>
      <c r="I734">
        <v>0</v>
      </c>
      <c r="J734">
        <v>8879.52</v>
      </c>
      <c r="K734" t="s">
        <v>16</v>
      </c>
      <c r="L734" t="s">
        <v>17</v>
      </c>
    </row>
    <row r="735" spans="1:12" x14ac:dyDescent="0.3">
      <c r="A735" t="s">
        <v>779</v>
      </c>
      <c r="B735" s="1">
        <v>45725</v>
      </c>
      <c r="C735" t="s">
        <v>13</v>
      </c>
      <c r="D735" t="s">
        <v>36</v>
      </c>
      <c r="E735" t="s">
        <v>91</v>
      </c>
      <c r="F735">
        <v>3</v>
      </c>
      <c r="G735">
        <v>8500</v>
      </c>
      <c r="H735">
        <v>25500</v>
      </c>
      <c r="I735">
        <v>0</v>
      </c>
      <c r="J735">
        <v>6127.49</v>
      </c>
      <c r="K735" t="s">
        <v>26</v>
      </c>
      <c r="L735" t="s">
        <v>23</v>
      </c>
    </row>
    <row r="736" spans="1:12" x14ac:dyDescent="0.3">
      <c r="A736" t="s">
        <v>780</v>
      </c>
      <c r="B736" s="1">
        <v>45813</v>
      </c>
      <c r="C736" t="s">
        <v>28</v>
      </c>
      <c r="D736" t="s">
        <v>30</v>
      </c>
      <c r="E736" t="s">
        <v>31</v>
      </c>
      <c r="F736">
        <v>8</v>
      </c>
      <c r="G736">
        <v>120</v>
      </c>
      <c r="H736">
        <v>912</v>
      </c>
      <c r="I736">
        <v>0.05</v>
      </c>
      <c r="J736">
        <v>284.3</v>
      </c>
      <c r="K736" t="s">
        <v>22</v>
      </c>
      <c r="L736" t="s">
        <v>23</v>
      </c>
    </row>
    <row r="737" spans="1:12" x14ac:dyDescent="0.3">
      <c r="A737" t="s">
        <v>781</v>
      </c>
      <c r="B737" s="1">
        <v>45821</v>
      </c>
      <c r="C737" t="s">
        <v>56</v>
      </c>
      <c r="D737" t="s">
        <v>20</v>
      </c>
      <c r="E737" t="s">
        <v>39</v>
      </c>
      <c r="F737">
        <v>2</v>
      </c>
      <c r="G737">
        <v>2800</v>
      </c>
      <c r="H737">
        <v>5600</v>
      </c>
      <c r="I737">
        <v>0</v>
      </c>
      <c r="J737">
        <v>-466.68</v>
      </c>
      <c r="K737" t="s">
        <v>26</v>
      </c>
      <c r="L737" t="s">
        <v>23</v>
      </c>
    </row>
    <row r="738" spans="1:12" x14ac:dyDescent="0.3">
      <c r="A738" t="s">
        <v>782</v>
      </c>
      <c r="B738" s="1">
        <v>45806</v>
      </c>
      <c r="C738" t="s">
        <v>56</v>
      </c>
      <c r="D738" t="s">
        <v>36</v>
      </c>
      <c r="E738" t="s">
        <v>37</v>
      </c>
      <c r="F738">
        <v>7</v>
      </c>
      <c r="G738">
        <v>12000</v>
      </c>
      <c r="H738">
        <v>84000</v>
      </c>
      <c r="I738">
        <v>0</v>
      </c>
      <c r="J738">
        <v>31196.03</v>
      </c>
      <c r="K738" t="s">
        <v>26</v>
      </c>
      <c r="L738" t="s">
        <v>23</v>
      </c>
    </row>
    <row r="739" spans="1:12" x14ac:dyDescent="0.3">
      <c r="A739" t="s">
        <v>783</v>
      </c>
      <c r="B739" s="1">
        <v>45842</v>
      </c>
      <c r="C739" t="s">
        <v>35</v>
      </c>
      <c r="D739" t="s">
        <v>30</v>
      </c>
      <c r="E739" t="s">
        <v>41</v>
      </c>
      <c r="F739">
        <v>2</v>
      </c>
      <c r="G739">
        <v>600</v>
      </c>
      <c r="H739">
        <v>960</v>
      </c>
      <c r="I739">
        <v>0.2</v>
      </c>
      <c r="J739">
        <v>114.6</v>
      </c>
      <c r="K739" t="s">
        <v>26</v>
      </c>
      <c r="L739" t="s">
        <v>32</v>
      </c>
    </row>
    <row r="740" spans="1:12" x14ac:dyDescent="0.3">
      <c r="A740" t="s">
        <v>784</v>
      </c>
      <c r="B740" s="1">
        <v>45792</v>
      </c>
      <c r="C740" t="s">
        <v>13</v>
      </c>
      <c r="D740" t="s">
        <v>36</v>
      </c>
      <c r="E740" t="s">
        <v>54</v>
      </c>
      <c r="F740">
        <v>2</v>
      </c>
      <c r="G740">
        <v>7000</v>
      </c>
      <c r="H740">
        <v>12600</v>
      </c>
      <c r="I740">
        <v>0.1</v>
      </c>
      <c r="J740">
        <v>2766.22</v>
      </c>
      <c r="K740" t="s">
        <v>16</v>
      </c>
      <c r="L740" t="s">
        <v>23</v>
      </c>
    </row>
    <row r="741" spans="1:12" x14ac:dyDescent="0.3">
      <c r="A741" t="s">
        <v>785</v>
      </c>
      <c r="B741" s="1">
        <v>45956</v>
      </c>
      <c r="C741" t="s">
        <v>35</v>
      </c>
      <c r="D741" t="s">
        <v>20</v>
      </c>
      <c r="E741" t="s">
        <v>21</v>
      </c>
      <c r="F741">
        <v>5</v>
      </c>
      <c r="G741">
        <v>650</v>
      </c>
      <c r="H741">
        <v>3250</v>
      </c>
      <c r="I741">
        <v>0</v>
      </c>
      <c r="J741">
        <v>1246.3</v>
      </c>
      <c r="K741" t="s">
        <v>16</v>
      </c>
      <c r="L741" t="s">
        <v>32</v>
      </c>
    </row>
    <row r="742" spans="1:12" x14ac:dyDescent="0.3">
      <c r="A742" t="s">
        <v>786</v>
      </c>
      <c r="B742" s="1">
        <v>45763</v>
      </c>
      <c r="C742" t="s">
        <v>13</v>
      </c>
      <c r="D742" t="s">
        <v>20</v>
      </c>
      <c r="E742" t="s">
        <v>21</v>
      </c>
      <c r="F742">
        <v>3</v>
      </c>
      <c r="G742">
        <v>650</v>
      </c>
      <c r="H742">
        <v>1852.5</v>
      </c>
      <c r="I742">
        <v>0.05</v>
      </c>
      <c r="J742">
        <v>545.16999999999996</v>
      </c>
      <c r="K742" t="s">
        <v>22</v>
      </c>
      <c r="L742" t="s">
        <v>23</v>
      </c>
    </row>
    <row r="743" spans="1:12" x14ac:dyDescent="0.3">
      <c r="A743" t="s">
        <v>787</v>
      </c>
      <c r="B743" s="1">
        <v>45741</v>
      </c>
      <c r="C743" t="s">
        <v>19</v>
      </c>
      <c r="D743" t="s">
        <v>20</v>
      </c>
      <c r="E743" t="s">
        <v>97</v>
      </c>
      <c r="F743">
        <v>2</v>
      </c>
      <c r="G743">
        <v>400</v>
      </c>
      <c r="H743">
        <v>800</v>
      </c>
      <c r="I743">
        <v>0</v>
      </c>
      <c r="J743">
        <v>245.72</v>
      </c>
      <c r="K743" t="s">
        <v>26</v>
      </c>
      <c r="L743" t="s">
        <v>32</v>
      </c>
    </row>
    <row r="744" spans="1:12" x14ac:dyDescent="0.3">
      <c r="A744" t="s">
        <v>788</v>
      </c>
      <c r="B744" s="1">
        <v>45918</v>
      </c>
      <c r="C744" t="s">
        <v>19</v>
      </c>
      <c r="D744" t="s">
        <v>36</v>
      </c>
      <c r="E744" t="s">
        <v>37</v>
      </c>
      <c r="F744">
        <v>7</v>
      </c>
      <c r="G744">
        <v>12000</v>
      </c>
      <c r="H744">
        <v>84000</v>
      </c>
      <c r="I744">
        <v>0</v>
      </c>
      <c r="J744">
        <v>16397.939999999999</v>
      </c>
      <c r="K744" t="s">
        <v>16</v>
      </c>
      <c r="L744" t="s">
        <v>23</v>
      </c>
    </row>
    <row r="745" spans="1:12" x14ac:dyDescent="0.3">
      <c r="A745" t="s">
        <v>789</v>
      </c>
      <c r="B745" s="1">
        <v>45661</v>
      </c>
      <c r="C745" t="s">
        <v>19</v>
      </c>
      <c r="D745" t="s">
        <v>20</v>
      </c>
      <c r="E745" t="s">
        <v>97</v>
      </c>
      <c r="F745">
        <v>2</v>
      </c>
      <c r="G745">
        <v>400</v>
      </c>
      <c r="H745">
        <v>720</v>
      </c>
      <c r="I745">
        <v>0.1</v>
      </c>
      <c r="J745">
        <v>265.43</v>
      </c>
      <c r="K745" t="s">
        <v>16</v>
      </c>
      <c r="L745" t="s">
        <v>23</v>
      </c>
    </row>
    <row r="746" spans="1:12" x14ac:dyDescent="0.3">
      <c r="A746" t="s">
        <v>790</v>
      </c>
      <c r="B746" s="1">
        <v>45675</v>
      </c>
      <c r="C746" t="s">
        <v>28</v>
      </c>
      <c r="D746" t="s">
        <v>36</v>
      </c>
      <c r="E746" t="s">
        <v>91</v>
      </c>
      <c r="F746">
        <v>7</v>
      </c>
      <c r="G746">
        <v>8500</v>
      </c>
      <c r="H746">
        <v>50575</v>
      </c>
      <c r="I746">
        <v>0.15</v>
      </c>
      <c r="J746">
        <v>13661.67</v>
      </c>
      <c r="K746" t="s">
        <v>16</v>
      </c>
      <c r="L746" t="s">
        <v>32</v>
      </c>
    </row>
    <row r="747" spans="1:12" x14ac:dyDescent="0.3">
      <c r="A747" t="s">
        <v>791</v>
      </c>
      <c r="B747" s="1">
        <v>45836</v>
      </c>
      <c r="C747" t="s">
        <v>19</v>
      </c>
      <c r="D747" t="s">
        <v>30</v>
      </c>
      <c r="E747" t="s">
        <v>41</v>
      </c>
      <c r="F747">
        <v>6</v>
      </c>
      <c r="G747">
        <v>600</v>
      </c>
      <c r="H747">
        <v>3060</v>
      </c>
      <c r="I747">
        <v>0.15</v>
      </c>
      <c r="J747">
        <v>503.47</v>
      </c>
      <c r="K747" t="s">
        <v>26</v>
      </c>
      <c r="L747" t="s">
        <v>17</v>
      </c>
    </row>
    <row r="748" spans="1:12" x14ac:dyDescent="0.3">
      <c r="A748" t="s">
        <v>792</v>
      </c>
      <c r="B748" s="1">
        <v>46015</v>
      </c>
      <c r="C748" t="s">
        <v>35</v>
      </c>
      <c r="D748" t="s">
        <v>20</v>
      </c>
      <c r="E748" t="s">
        <v>21</v>
      </c>
      <c r="F748">
        <v>3</v>
      </c>
      <c r="G748">
        <v>650</v>
      </c>
      <c r="H748">
        <v>1560</v>
      </c>
      <c r="I748">
        <v>0.2</v>
      </c>
      <c r="J748">
        <v>480.63</v>
      </c>
      <c r="K748" t="s">
        <v>22</v>
      </c>
      <c r="L748" t="s">
        <v>23</v>
      </c>
    </row>
    <row r="749" spans="1:12" x14ac:dyDescent="0.3">
      <c r="A749" t="s">
        <v>793</v>
      </c>
      <c r="B749" s="1">
        <v>45756</v>
      </c>
      <c r="C749" t="s">
        <v>13</v>
      </c>
      <c r="D749" t="s">
        <v>20</v>
      </c>
      <c r="E749" t="s">
        <v>21</v>
      </c>
      <c r="F749">
        <v>6</v>
      </c>
      <c r="G749">
        <v>650</v>
      </c>
      <c r="H749">
        <v>3315</v>
      </c>
      <c r="I749">
        <v>0.15</v>
      </c>
      <c r="J749">
        <v>1089.79</v>
      </c>
      <c r="K749" t="s">
        <v>26</v>
      </c>
      <c r="L749" t="s">
        <v>32</v>
      </c>
    </row>
    <row r="750" spans="1:12" x14ac:dyDescent="0.3">
      <c r="A750" t="s">
        <v>794</v>
      </c>
      <c r="B750" s="1">
        <v>45970</v>
      </c>
      <c r="C750" t="s">
        <v>13</v>
      </c>
      <c r="D750" t="s">
        <v>36</v>
      </c>
      <c r="E750" t="s">
        <v>54</v>
      </c>
      <c r="F750">
        <v>10</v>
      </c>
      <c r="G750">
        <v>7000</v>
      </c>
      <c r="H750">
        <v>70000</v>
      </c>
      <c r="I750">
        <v>0</v>
      </c>
      <c r="J750">
        <v>27059.81</v>
      </c>
      <c r="K750" t="s">
        <v>22</v>
      </c>
      <c r="L750" t="s">
        <v>17</v>
      </c>
    </row>
    <row r="751" spans="1:12" x14ac:dyDescent="0.3">
      <c r="A751" t="s">
        <v>795</v>
      </c>
      <c r="B751" s="1">
        <v>45713</v>
      </c>
      <c r="C751" t="s">
        <v>28</v>
      </c>
      <c r="D751" t="s">
        <v>20</v>
      </c>
      <c r="E751" t="s">
        <v>97</v>
      </c>
      <c r="F751">
        <v>8</v>
      </c>
      <c r="G751">
        <v>400</v>
      </c>
      <c r="H751">
        <v>2720</v>
      </c>
      <c r="I751">
        <v>0.15</v>
      </c>
      <c r="J751">
        <v>-57.5</v>
      </c>
      <c r="K751" t="s">
        <v>22</v>
      </c>
      <c r="L751" t="s">
        <v>23</v>
      </c>
    </row>
    <row r="752" spans="1:12" x14ac:dyDescent="0.3">
      <c r="A752" t="s">
        <v>796</v>
      </c>
      <c r="B752" s="1">
        <v>45818</v>
      </c>
      <c r="C752" t="s">
        <v>35</v>
      </c>
      <c r="D752" t="s">
        <v>20</v>
      </c>
      <c r="E752" t="s">
        <v>21</v>
      </c>
      <c r="F752">
        <v>9</v>
      </c>
      <c r="G752">
        <v>650</v>
      </c>
      <c r="H752">
        <v>4680</v>
      </c>
      <c r="I752">
        <v>0.2</v>
      </c>
      <c r="J752">
        <v>-83.06</v>
      </c>
      <c r="K752" t="s">
        <v>22</v>
      </c>
      <c r="L752" t="s">
        <v>17</v>
      </c>
    </row>
    <row r="753" spans="1:12" x14ac:dyDescent="0.3">
      <c r="A753" t="s">
        <v>797</v>
      </c>
      <c r="B753" s="1">
        <v>45915</v>
      </c>
      <c r="C753" t="s">
        <v>35</v>
      </c>
      <c r="D753" t="s">
        <v>36</v>
      </c>
      <c r="E753" t="s">
        <v>37</v>
      </c>
      <c r="F753">
        <v>10</v>
      </c>
      <c r="G753">
        <v>1800</v>
      </c>
      <c r="H753">
        <v>17100</v>
      </c>
      <c r="I753">
        <v>0.05</v>
      </c>
      <c r="J753">
        <v>5198.6400000000003</v>
      </c>
      <c r="K753" t="s">
        <v>22</v>
      </c>
      <c r="L753" t="s">
        <v>17</v>
      </c>
    </row>
    <row r="754" spans="1:12" x14ac:dyDescent="0.3">
      <c r="A754" t="s">
        <v>798</v>
      </c>
      <c r="B754" s="1">
        <v>45749</v>
      </c>
      <c r="C754" t="s">
        <v>13</v>
      </c>
      <c r="D754" t="s">
        <v>36</v>
      </c>
      <c r="E754" t="s">
        <v>54</v>
      </c>
      <c r="F754">
        <v>10</v>
      </c>
      <c r="G754">
        <v>7000</v>
      </c>
      <c r="H754">
        <v>70000</v>
      </c>
      <c r="I754">
        <v>0</v>
      </c>
      <c r="J754">
        <v>0</v>
      </c>
      <c r="K754" t="s">
        <v>22</v>
      </c>
      <c r="L754" t="s">
        <v>17</v>
      </c>
    </row>
    <row r="755" spans="1:12" x14ac:dyDescent="0.3">
      <c r="A755" t="s">
        <v>799</v>
      </c>
      <c r="B755" s="1">
        <v>45814</v>
      </c>
      <c r="C755" t="s">
        <v>56</v>
      </c>
      <c r="D755" t="s">
        <v>30</v>
      </c>
      <c r="E755" t="s">
        <v>82</v>
      </c>
      <c r="F755">
        <v>1</v>
      </c>
      <c r="G755">
        <v>250</v>
      </c>
      <c r="H755">
        <v>250</v>
      </c>
      <c r="I755">
        <v>0</v>
      </c>
      <c r="J755">
        <v>47.59</v>
      </c>
      <c r="K755" t="s">
        <v>26</v>
      </c>
      <c r="L755" t="s">
        <v>17</v>
      </c>
    </row>
    <row r="756" spans="1:12" x14ac:dyDescent="0.3">
      <c r="A756" t="s">
        <v>800</v>
      </c>
      <c r="B756" s="1">
        <v>45679</v>
      </c>
      <c r="C756" t="s">
        <v>19</v>
      </c>
      <c r="D756" t="s">
        <v>36</v>
      </c>
      <c r="E756" t="s">
        <v>91</v>
      </c>
      <c r="F756">
        <v>2</v>
      </c>
      <c r="G756">
        <v>8500</v>
      </c>
      <c r="H756">
        <v>16150</v>
      </c>
      <c r="I756">
        <v>0.05</v>
      </c>
      <c r="J756">
        <v>5496.24</v>
      </c>
      <c r="K756" t="s">
        <v>26</v>
      </c>
      <c r="L756" t="s">
        <v>23</v>
      </c>
    </row>
    <row r="757" spans="1:12" x14ac:dyDescent="0.3">
      <c r="A757" t="s">
        <v>801</v>
      </c>
      <c r="B757" s="1">
        <v>45900</v>
      </c>
      <c r="C757" t="s">
        <v>13</v>
      </c>
      <c r="D757" t="s">
        <v>14</v>
      </c>
      <c r="E757" t="s">
        <v>43</v>
      </c>
      <c r="F757">
        <v>3</v>
      </c>
      <c r="G757">
        <v>65000</v>
      </c>
      <c r="H757">
        <v>156000</v>
      </c>
      <c r="I757">
        <v>0.2</v>
      </c>
      <c r="J757">
        <v>33065.11</v>
      </c>
      <c r="K757" t="s">
        <v>22</v>
      </c>
      <c r="L757" t="s">
        <v>17</v>
      </c>
    </row>
    <row r="758" spans="1:12" x14ac:dyDescent="0.3">
      <c r="A758" t="s">
        <v>802</v>
      </c>
      <c r="B758" s="1">
        <v>45843</v>
      </c>
      <c r="C758" t="s">
        <v>28</v>
      </c>
      <c r="D758" t="s">
        <v>20</v>
      </c>
      <c r="E758" t="s">
        <v>21</v>
      </c>
      <c r="F758">
        <v>3</v>
      </c>
      <c r="G758">
        <v>650</v>
      </c>
      <c r="H758">
        <v>1852.5</v>
      </c>
      <c r="I758">
        <v>0.05</v>
      </c>
      <c r="J758">
        <v>579.5</v>
      </c>
      <c r="K758" t="s">
        <v>16</v>
      </c>
      <c r="L758" t="s">
        <v>23</v>
      </c>
    </row>
    <row r="759" spans="1:12" x14ac:dyDescent="0.3">
      <c r="A759" t="s">
        <v>803</v>
      </c>
      <c r="B759" s="1">
        <v>45665</v>
      </c>
      <c r="C759" t="s">
        <v>19</v>
      </c>
      <c r="D759" t="s">
        <v>14</v>
      </c>
      <c r="E759" t="s">
        <v>105</v>
      </c>
      <c r="F759">
        <v>1</v>
      </c>
      <c r="G759">
        <v>14000</v>
      </c>
      <c r="H759">
        <v>11900</v>
      </c>
      <c r="I759">
        <v>0.15</v>
      </c>
      <c r="J759">
        <v>3968.13</v>
      </c>
      <c r="K759" t="s">
        <v>22</v>
      </c>
      <c r="L759" t="s">
        <v>17</v>
      </c>
    </row>
    <row r="760" spans="1:12" x14ac:dyDescent="0.3">
      <c r="A760" t="s">
        <v>804</v>
      </c>
      <c r="B760" s="1">
        <v>45881</v>
      </c>
      <c r="C760" t="s">
        <v>13</v>
      </c>
      <c r="D760" t="s">
        <v>30</v>
      </c>
      <c r="E760" t="s">
        <v>47</v>
      </c>
      <c r="F760">
        <v>6</v>
      </c>
      <c r="G760">
        <v>450</v>
      </c>
      <c r="H760">
        <v>2160</v>
      </c>
      <c r="I760">
        <v>0.2</v>
      </c>
      <c r="J760">
        <v>248.62</v>
      </c>
      <c r="K760" t="s">
        <v>22</v>
      </c>
      <c r="L760" t="s">
        <v>17</v>
      </c>
    </row>
    <row r="761" spans="1:12" x14ac:dyDescent="0.3">
      <c r="A761" t="s">
        <v>805</v>
      </c>
      <c r="B761" s="1">
        <v>45686</v>
      </c>
      <c r="C761" t="s">
        <v>13</v>
      </c>
      <c r="D761" t="s">
        <v>14</v>
      </c>
      <c r="E761" t="s">
        <v>51</v>
      </c>
      <c r="F761">
        <v>5</v>
      </c>
      <c r="G761">
        <v>2500</v>
      </c>
      <c r="H761">
        <v>10625</v>
      </c>
      <c r="I761">
        <v>0.15</v>
      </c>
      <c r="J761">
        <v>0</v>
      </c>
      <c r="K761" t="s">
        <v>22</v>
      </c>
      <c r="L761" t="s">
        <v>23</v>
      </c>
    </row>
    <row r="762" spans="1:12" x14ac:dyDescent="0.3">
      <c r="A762" t="s">
        <v>806</v>
      </c>
      <c r="B762" s="1">
        <v>45803</v>
      </c>
      <c r="C762" t="s">
        <v>13</v>
      </c>
      <c r="D762" t="s">
        <v>30</v>
      </c>
      <c r="E762" t="s">
        <v>31</v>
      </c>
      <c r="F762">
        <v>2</v>
      </c>
      <c r="G762">
        <v>120</v>
      </c>
      <c r="H762">
        <v>192</v>
      </c>
      <c r="I762">
        <v>0.2</v>
      </c>
      <c r="J762">
        <v>52.63</v>
      </c>
      <c r="K762" t="s">
        <v>26</v>
      </c>
      <c r="L762" t="s">
        <v>23</v>
      </c>
    </row>
    <row r="763" spans="1:12" x14ac:dyDescent="0.3">
      <c r="A763" t="s">
        <v>807</v>
      </c>
      <c r="B763" s="1">
        <v>45716</v>
      </c>
      <c r="C763" t="s">
        <v>56</v>
      </c>
      <c r="D763" t="s">
        <v>30</v>
      </c>
      <c r="E763" t="s">
        <v>82</v>
      </c>
      <c r="F763">
        <v>1</v>
      </c>
      <c r="G763">
        <v>250</v>
      </c>
      <c r="H763">
        <v>200</v>
      </c>
      <c r="I763">
        <v>0.2</v>
      </c>
      <c r="J763">
        <v>41.01</v>
      </c>
      <c r="K763" t="s">
        <v>22</v>
      </c>
      <c r="L763" t="s">
        <v>17</v>
      </c>
    </row>
    <row r="764" spans="1:12" x14ac:dyDescent="0.3">
      <c r="A764" t="s">
        <v>808</v>
      </c>
      <c r="B764" s="1">
        <v>45732</v>
      </c>
      <c r="C764" t="s">
        <v>19</v>
      </c>
      <c r="D764" t="s">
        <v>36</v>
      </c>
      <c r="E764" t="s">
        <v>91</v>
      </c>
      <c r="F764">
        <v>5</v>
      </c>
      <c r="G764">
        <v>8500</v>
      </c>
      <c r="H764">
        <v>34000</v>
      </c>
      <c r="I764">
        <v>0.2</v>
      </c>
      <c r="J764">
        <v>10618.16</v>
      </c>
      <c r="K764" t="s">
        <v>26</v>
      </c>
      <c r="L764" t="s">
        <v>17</v>
      </c>
    </row>
    <row r="765" spans="1:12" x14ac:dyDescent="0.3">
      <c r="A765" t="s">
        <v>809</v>
      </c>
      <c r="B765" s="1">
        <v>45839</v>
      </c>
      <c r="C765" t="s">
        <v>35</v>
      </c>
      <c r="D765" t="s">
        <v>30</v>
      </c>
      <c r="E765" t="s">
        <v>45</v>
      </c>
      <c r="F765">
        <v>3</v>
      </c>
      <c r="G765">
        <v>180</v>
      </c>
      <c r="H765">
        <v>540</v>
      </c>
      <c r="I765">
        <v>0</v>
      </c>
      <c r="J765">
        <v>0</v>
      </c>
      <c r="K765" t="s">
        <v>26</v>
      </c>
      <c r="L765" t="s">
        <v>23</v>
      </c>
    </row>
    <row r="766" spans="1:12" x14ac:dyDescent="0.3">
      <c r="A766" t="s">
        <v>810</v>
      </c>
      <c r="B766" s="1">
        <v>45778</v>
      </c>
      <c r="C766" t="s">
        <v>28</v>
      </c>
      <c r="D766" t="s">
        <v>20</v>
      </c>
      <c r="E766" t="s">
        <v>84</v>
      </c>
      <c r="F766">
        <v>2</v>
      </c>
      <c r="G766">
        <v>3200</v>
      </c>
      <c r="H766">
        <v>6080</v>
      </c>
      <c r="I766">
        <v>0.05</v>
      </c>
      <c r="J766">
        <v>2421.3200000000002</v>
      </c>
      <c r="K766" t="s">
        <v>26</v>
      </c>
      <c r="L766" t="s">
        <v>17</v>
      </c>
    </row>
    <row r="767" spans="1:12" x14ac:dyDescent="0.3">
      <c r="A767" t="s">
        <v>811</v>
      </c>
      <c r="B767" s="1">
        <v>45735</v>
      </c>
      <c r="C767" t="s">
        <v>56</v>
      </c>
      <c r="D767" t="s">
        <v>36</v>
      </c>
      <c r="E767" t="s">
        <v>91</v>
      </c>
      <c r="F767">
        <v>5</v>
      </c>
      <c r="G767">
        <v>8500</v>
      </c>
      <c r="H767">
        <v>40375</v>
      </c>
      <c r="I767">
        <v>0.05</v>
      </c>
      <c r="J767">
        <v>11343.61</v>
      </c>
      <c r="K767" t="s">
        <v>26</v>
      </c>
      <c r="L767" t="s">
        <v>17</v>
      </c>
    </row>
    <row r="768" spans="1:12" x14ac:dyDescent="0.3">
      <c r="A768" t="s">
        <v>812</v>
      </c>
      <c r="B768" s="1">
        <v>45863</v>
      </c>
      <c r="C768" t="s">
        <v>19</v>
      </c>
      <c r="D768" t="s">
        <v>20</v>
      </c>
      <c r="E768" t="s">
        <v>39</v>
      </c>
      <c r="F768">
        <v>1</v>
      </c>
      <c r="G768">
        <v>2800</v>
      </c>
      <c r="H768">
        <v>2520</v>
      </c>
      <c r="I768">
        <v>0.1</v>
      </c>
      <c r="J768">
        <v>-29.27</v>
      </c>
      <c r="K768" t="s">
        <v>26</v>
      </c>
      <c r="L768" t="s">
        <v>32</v>
      </c>
    </row>
    <row r="769" spans="1:12" x14ac:dyDescent="0.3">
      <c r="A769" t="s">
        <v>813</v>
      </c>
      <c r="B769" s="1">
        <v>45999</v>
      </c>
      <c r="C769" t="s">
        <v>28</v>
      </c>
      <c r="D769" t="s">
        <v>30</v>
      </c>
      <c r="E769" t="s">
        <v>31</v>
      </c>
      <c r="F769">
        <v>7</v>
      </c>
      <c r="G769">
        <v>120</v>
      </c>
      <c r="H769">
        <v>756</v>
      </c>
      <c r="I769">
        <v>0.1</v>
      </c>
      <c r="J769">
        <v>292.69</v>
      </c>
      <c r="K769" t="s">
        <v>22</v>
      </c>
      <c r="L769" t="s">
        <v>32</v>
      </c>
    </row>
    <row r="770" spans="1:12" x14ac:dyDescent="0.3">
      <c r="A770" t="s">
        <v>814</v>
      </c>
      <c r="B770" s="1">
        <v>45769</v>
      </c>
      <c r="C770" t="s">
        <v>13</v>
      </c>
      <c r="D770" t="s">
        <v>36</v>
      </c>
      <c r="E770" t="s">
        <v>37</v>
      </c>
      <c r="F770">
        <v>5</v>
      </c>
      <c r="G770">
        <v>1800</v>
      </c>
      <c r="H770">
        <v>9000</v>
      </c>
      <c r="I770">
        <v>0</v>
      </c>
      <c r="J770">
        <v>2141.42</v>
      </c>
      <c r="K770" t="s">
        <v>16</v>
      </c>
      <c r="L770" t="s">
        <v>23</v>
      </c>
    </row>
    <row r="771" spans="1:12" x14ac:dyDescent="0.3">
      <c r="A771" t="s">
        <v>815</v>
      </c>
      <c r="B771" s="1">
        <v>45814</v>
      </c>
      <c r="C771" t="s">
        <v>19</v>
      </c>
      <c r="D771" t="s">
        <v>20</v>
      </c>
      <c r="E771" t="s">
        <v>21</v>
      </c>
      <c r="F771">
        <v>9</v>
      </c>
      <c r="G771">
        <v>650</v>
      </c>
      <c r="H771">
        <v>4680</v>
      </c>
      <c r="I771">
        <v>0.2</v>
      </c>
      <c r="J771">
        <v>589.04999999999995</v>
      </c>
      <c r="K771" t="s">
        <v>26</v>
      </c>
      <c r="L771" t="s">
        <v>32</v>
      </c>
    </row>
    <row r="772" spans="1:12" x14ac:dyDescent="0.3">
      <c r="A772" t="s">
        <v>816</v>
      </c>
      <c r="B772" s="1">
        <v>46014</v>
      </c>
      <c r="C772" t="s">
        <v>56</v>
      </c>
      <c r="D772" t="s">
        <v>36</v>
      </c>
      <c r="E772" t="s">
        <v>91</v>
      </c>
      <c r="F772">
        <v>2</v>
      </c>
      <c r="G772">
        <v>8500</v>
      </c>
      <c r="H772">
        <v>17000</v>
      </c>
      <c r="I772">
        <v>0</v>
      </c>
      <c r="J772">
        <v>4511.76</v>
      </c>
      <c r="K772" t="s">
        <v>26</v>
      </c>
      <c r="L772" t="s">
        <v>32</v>
      </c>
    </row>
    <row r="773" spans="1:12" x14ac:dyDescent="0.3">
      <c r="A773" t="s">
        <v>817</v>
      </c>
      <c r="B773" s="1">
        <v>45750</v>
      </c>
      <c r="C773" t="s">
        <v>35</v>
      </c>
      <c r="D773" t="s">
        <v>36</v>
      </c>
      <c r="E773" t="s">
        <v>54</v>
      </c>
      <c r="F773">
        <v>5</v>
      </c>
      <c r="G773">
        <v>7000</v>
      </c>
      <c r="H773">
        <v>31500</v>
      </c>
      <c r="I773">
        <v>0.1</v>
      </c>
      <c r="J773">
        <v>11974.11</v>
      </c>
      <c r="K773" t="s">
        <v>16</v>
      </c>
      <c r="L773" t="s">
        <v>17</v>
      </c>
    </row>
    <row r="774" spans="1:12" x14ac:dyDescent="0.3">
      <c r="A774" t="s">
        <v>818</v>
      </c>
      <c r="B774" s="1">
        <v>45917</v>
      </c>
      <c r="C774" t="s">
        <v>19</v>
      </c>
      <c r="D774" t="s">
        <v>14</v>
      </c>
      <c r="E774" t="s">
        <v>65</v>
      </c>
      <c r="F774">
        <v>6</v>
      </c>
      <c r="G774">
        <v>700</v>
      </c>
      <c r="H774">
        <v>3990</v>
      </c>
      <c r="I774">
        <v>0.05</v>
      </c>
      <c r="J774">
        <v>847.73</v>
      </c>
      <c r="K774" t="s">
        <v>26</v>
      </c>
      <c r="L774" t="s">
        <v>23</v>
      </c>
    </row>
    <row r="775" spans="1:12" x14ac:dyDescent="0.3">
      <c r="A775" t="s">
        <v>819</v>
      </c>
      <c r="B775" s="1">
        <v>45862</v>
      </c>
      <c r="C775" t="s">
        <v>35</v>
      </c>
      <c r="D775" t="s">
        <v>30</v>
      </c>
      <c r="E775" t="s">
        <v>47</v>
      </c>
      <c r="F775">
        <v>10</v>
      </c>
      <c r="G775">
        <v>450</v>
      </c>
      <c r="H775">
        <v>4500</v>
      </c>
      <c r="I775">
        <v>0</v>
      </c>
      <c r="J775">
        <v>1325.18</v>
      </c>
      <c r="K775" t="s">
        <v>16</v>
      </c>
      <c r="L775" t="s">
        <v>32</v>
      </c>
    </row>
    <row r="776" spans="1:12" x14ac:dyDescent="0.3">
      <c r="A776" t="s">
        <v>820</v>
      </c>
      <c r="B776" s="1">
        <v>45853</v>
      </c>
      <c r="C776" t="s">
        <v>13</v>
      </c>
      <c r="D776" t="s">
        <v>14</v>
      </c>
      <c r="E776" t="s">
        <v>105</v>
      </c>
      <c r="F776">
        <v>6</v>
      </c>
      <c r="G776">
        <v>14000</v>
      </c>
      <c r="H776">
        <v>71400</v>
      </c>
      <c r="I776">
        <v>0.15</v>
      </c>
      <c r="J776">
        <v>7976.45</v>
      </c>
      <c r="K776" t="s">
        <v>22</v>
      </c>
      <c r="L776" t="s">
        <v>17</v>
      </c>
    </row>
    <row r="777" spans="1:12" x14ac:dyDescent="0.3">
      <c r="A777" t="s">
        <v>821</v>
      </c>
      <c r="B777" s="1">
        <v>45781</v>
      </c>
      <c r="C777" t="s">
        <v>19</v>
      </c>
      <c r="D777" t="s">
        <v>14</v>
      </c>
      <c r="E777" t="s">
        <v>65</v>
      </c>
      <c r="F777">
        <v>5</v>
      </c>
      <c r="G777">
        <v>700</v>
      </c>
      <c r="H777">
        <v>2800</v>
      </c>
      <c r="I777">
        <v>0.2</v>
      </c>
      <c r="J777">
        <v>418.39</v>
      </c>
      <c r="K777" t="s">
        <v>16</v>
      </c>
      <c r="L777" t="s">
        <v>32</v>
      </c>
    </row>
    <row r="778" spans="1:12" x14ac:dyDescent="0.3">
      <c r="A778" t="s">
        <v>822</v>
      </c>
      <c r="B778" s="1">
        <v>45807</v>
      </c>
      <c r="C778" t="s">
        <v>19</v>
      </c>
      <c r="D778" t="s">
        <v>14</v>
      </c>
      <c r="E778" t="s">
        <v>65</v>
      </c>
      <c r="F778">
        <v>2</v>
      </c>
      <c r="G778">
        <v>700</v>
      </c>
      <c r="H778">
        <v>1120</v>
      </c>
      <c r="I778">
        <v>0.2</v>
      </c>
      <c r="J778">
        <v>108.66</v>
      </c>
      <c r="K778" t="s">
        <v>26</v>
      </c>
      <c r="L778" t="s">
        <v>17</v>
      </c>
    </row>
    <row r="779" spans="1:12" x14ac:dyDescent="0.3">
      <c r="A779" t="s">
        <v>823</v>
      </c>
      <c r="B779" s="1">
        <v>45887</v>
      </c>
      <c r="C779" t="s">
        <v>35</v>
      </c>
      <c r="D779" t="s">
        <v>14</v>
      </c>
      <c r="E779" t="s">
        <v>43</v>
      </c>
      <c r="F779">
        <v>10</v>
      </c>
      <c r="G779">
        <v>65000</v>
      </c>
      <c r="H779">
        <v>552500</v>
      </c>
      <c r="I779">
        <v>0.15</v>
      </c>
      <c r="J779">
        <v>164760.57999999999</v>
      </c>
      <c r="K779" t="s">
        <v>16</v>
      </c>
      <c r="L779" t="s">
        <v>23</v>
      </c>
    </row>
    <row r="780" spans="1:12" x14ac:dyDescent="0.3">
      <c r="A780" t="s">
        <v>824</v>
      </c>
      <c r="B780" s="1">
        <v>45681</v>
      </c>
      <c r="C780" t="s">
        <v>35</v>
      </c>
      <c r="D780" t="s">
        <v>36</v>
      </c>
      <c r="E780" t="s">
        <v>91</v>
      </c>
      <c r="F780">
        <v>9</v>
      </c>
      <c r="G780">
        <v>8500</v>
      </c>
      <c r="H780">
        <v>72675</v>
      </c>
      <c r="I780">
        <v>0.05</v>
      </c>
      <c r="J780">
        <v>24189.59</v>
      </c>
      <c r="K780" t="s">
        <v>22</v>
      </c>
      <c r="L780" t="s">
        <v>23</v>
      </c>
    </row>
    <row r="781" spans="1:12" x14ac:dyDescent="0.3">
      <c r="A781" t="s">
        <v>825</v>
      </c>
      <c r="B781" s="1">
        <v>45886</v>
      </c>
      <c r="C781" t="s">
        <v>35</v>
      </c>
      <c r="D781" t="s">
        <v>36</v>
      </c>
      <c r="E781" t="s">
        <v>54</v>
      </c>
      <c r="F781">
        <v>4</v>
      </c>
      <c r="G781">
        <v>7000</v>
      </c>
      <c r="H781">
        <v>22400</v>
      </c>
      <c r="I781">
        <v>0.2</v>
      </c>
      <c r="J781">
        <v>2103.1799999999998</v>
      </c>
      <c r="K781" t="s">
        <v>16</v>
      </c>
      <c r="L781" t="s">
        <v>17</v>
      </c>
    </row>
    <row r="782" spans="1:12" x14ac:dyDescent="0.3">
      <c r="A782" t="s">
        <v>826</v>
      </c>
      <c r="B782" s="1">
        <v>45978</v>
      </c>
      <c r="C782" t="s">
        <v>13</v>
      </c>
      <c r="D782" t="s">
        <v>14</v>
      </c>
      <c r="E782" t="s">
        <v>43</v>
      </c>
      <c r="F782">
        <v>5</v>
      </c>
      <c r="G782">
        <v>65000</v>
      </c>
      <c r="H782">
        <v>308750</v>
      </c>
      <c r="I782">
        <v>0.05</v>
      </c>
      <c r="J782">
        <v>110029.25</v>
      </c>
      <c r="K782" t="s">
        <v>26</v>
      </c>
      <c r="L782" t="s">
        <v>17</v>
      </c>
    </row>
    <row r="783" spans="1:12" x14ac:dyDescent="0.3">
      <c r="A783" t="s">
        <v>827</v>
      </c>
      <c r="B783" s="1">
        <v>45759</v>
      </c>
      <c r="C783" t="s">
        <v>35</v>
      </c>
      <c r="D783" t="s">
        <v>30</v>
      </c>
      <c r="E783" t="s">
        <v>82</v>
      </c>
      <c r="F783">
        <v>9</v>
      </c>
      <c r="G783">
        <v>250</v>
      </c>
      <c r="H783">
        <v>2025</v>
      </c>
      <c r="I783">
        <v>0.1</v>
      </c>
      <c r="J783">
        <v>423.74</v>
      </c>
      <c r="K783" t="s">
        <v>26</v>
      </c>
      <c r="L783" t="s">
        <v>23</v>
      </c>
    </row>
    <row r="784" spans="1:12" x14ac:dyDescent="0.3">
      <c r="A784" t="s">
        <v>828</v>
      </c>
      <c r="B784" s="1">
        <v>45682</v>
      </c>
      <c r="C784" t="s">
        <v>13</v>
      </c>
      <c r="D784" t="s">
        <v>36</v>
      </c>
      <c r="E784" t="s">
        <v>37</v>
      </c>
      <c r="F784">
        <v>8</v>
      </c>
      <c r="G784">
        <v>1800</v>
      </c>
      <c r="H784">
        <v>14400</v>
      </c>
      <c r="I784">
        <v>0</v>
      </c>
      <c r="J784">
        <v>5901.65</v>
      </c>
      <c r="K784" t="s">
        <v>22</v>
      </c>
      <c r="L784" t="s">
        <v>32</v>
      </c>
    </row>
    <row r="785" spans="1:12" x14ac:dyDescent="0.3">
      <c r="A785" t="s">
        <v>829</v>
      </c>
      <c r="B785" s="1">
        <v>45996</v>
      </c>
      <c r="C785" t="s">
        <v>13</v>
      </c>
      <c r="D785" t="s">
        <v>30</v>
      </c>
      <c r="E785" t="s">
        <v>41</v>
      </c>
      <c r="F785">
        <v>8</v>
      </c>
      <c r="G785">
        <v>600</v>
      </c>
      <c r="H785">
        <v>4560</v>
      </c>
      <c r="I785">
        <v>0.05</v>
      </c>
      <c r="J785">
        <v>1197.1099999999999</v>
      </c>
      <c r="K785" t="s">
        <v>22</v>
      </c>
      <c r="L785" t="s">
        <v>32</v>
      </c>
    </row>
    <row r="786" spans="1:12" x14ac:dyDescent="0.3">
      <c r="A786" t="s">
        <v>830</v>
      </c>
      <c r="B786" s="1">
        <v>45923</v>
      </c>
      <c r="C786" t="s">
        <v>13</v>
      </c>
      <c r="D786" t="s">
        <v>20</v>
      </c>
      <c r="E786" t="s">
        <v>84</v>
      </c>
      <c r="F786">
        <v>4</v>
      </c>
      <c r="G786">
        <v>3200</v>
      </c>
      <c r="H786">
        <v>10880</v>
      </c>
      <c r="I786">
        <v>0.15</v>
      </c>
      <c r="J786">
        <v>862.76</v>
      </c>
      <c r="K786" t="s">
        <v>22</v>
      </c>
      <c r="L786" t="s">
        <v>32</v>
      </c>
    </row>
    <row r="787" spans="1:12" x14ac:dyDescent="0.3">
      <c r="A787" t="s">
        <v>831</v>
      </c>
      <c r="B787" s="1">
        <v>45945</v>
      </c>
      <c r="C787" t="s">
        <v>56</v>
      </c>
      <c r="D787" t="s">
        <v>30</v>
      </c>
      <c r="E787" t="s">
        <v>41</v>
      </c>
      <c r="F787">
        <v>9</v>
      </c>
      <c r="G787">
        <v>600</v>
      </c>
      <c r="H787">
        <v>5400</v>
      </c>
      <c r="I787">
        <v>0</v>
      </c>
      <c r="J787">
        <v>1023.03</v>
      </c>
      <c r="K787" t="s">
        <v>22</v>
      </c>
      <c r="L787" t="s">
        <v>23</v>
      </c>
    </row>
    <row r="788" spans="1:12" x14ac:dyDescent="0.3">
      <c r="A788" t="s">
        <v>832</v>
      </c>
      <c r="B788" s="1">
        <v>45668</v>
      </c>
      <c r="C788" t="s">
        <v>13</v>
      </c>
      <c r="D788" t="s">
        <v>30</v>
      </c>
      <c r="E788" t="s">
        <v>31</v>
      </c>
      <c r="F788">
        <v>10</v>
      </c>
      <c r="G788">
        <v>120</v>
      </c>
      <c r="H788">
        <v>1080</v>
      </c>
      <c r="I788">
        <v>0.1</v>
      </c>
      <c r="J788">
        <v>127.59</v>
      </c>
      <c r="K788" t="s">
        <v>16</v>
      </c>
      <c r="L788" t="s">
        <v>23</v>
      </c>
    </row>
    <row r="789" spans="1:12" x14ac:dyDescent="0.3">
      <c r="A789" t="s">
        <v>833</v>
      </c>
      <c r="B789" s="1">
        <v>46004</v>
      </c>
      <c r="C789" t="s">
        <v>56</v>
      </c>
      <c r="D789" t="s">
        <v>14</v>
      </c>
      <c r="E789" t="s">
        <v>15</v>
      </c>
      <c r="F789">
        <v>5</v>
      </c>
      <c r="G789">
        <v>1200</v>
      </c>
      <c r="H789">
        <v>5100</v>
      </c>
      <c r="I789">
        <v>0.15</v>
      </c>
      <c r="J789">
        <v>628.05999999999995</v>
      </c>
      <c r="K789" t="s">
        <v>16</v>
      </c>
      <c r="L789" t="s">
        <v>32</v>
      </c>
    </row>
    <row r="790" spans="1:12" x14ac:dyDescent="0.3">
      <c r="A790" t="s">
        <v>834</v>
      </c>
      <c r="B790" s="1">
        <v>45753</v>
      </c>
      <c r="C790" t="s">
        <v>56</v>
      </c>
      <c r="D790" t="s">
        <v>14</v>
      </c>
      <c r="E790" t="s">
        <v>105</v>
      </c>
      <c r="F790">
        <v>1</v>
      </c>
      <c r="G790">
        <v>14000</v>
      </c>
      <c r="H790">
        <v>14000</v>
      </c>
      <c r="I790">
        <v>0</v>
      </c>
      <c r="J790">
        <v>4026.26</v>
      </c>
      <c r="K790" t="s">
        <v>26</v>
      </c>
      <c r="L790" t="s">
        <v>23</v>
      </c>
    </row>
    <row r="791" spans="1:12" x14ac:dyDescent="0.3">
      <c r="A791" t="s">
        <v>835</v>
      </c>
      <c r="B791" s="1">
        <v>45911</v>
      </c>
      <c r="C791" t="s">
        <v>19</v>
      </c>
      <c r="D791" t="s">
        <v>20</v>
      </c>
      <c r="E791" t="s">
        <v>39</v>
      </c>
      <c r="F791">
        <v>3</v>
      </c>
      <c r="G791">
        <v>2800</v>
      </c>
      <c r="H791">
        <v>7980</v>
      </c>
      <c r="I791">
        <v>0.05</v>
      </c>
      <c r="J791">
        <v>3354.92</v>
      </c>
      <c r="K791" t="s">
        <v>22</v>
      </c>
      <c r="L791" t="s">
        <v>23</v>
      </c>
    </row>
    <row r="792" spans="1:12" x14ac:dyDescent="0.3">
      <c r="A792" t="s">
        <v>836</v>
      </c>
      <c r="B792" s="1">
        <v>45870</v>
      </c>
      <c r="C792" t="s">
        <v>13</v>
      </c>
      <c r="D792" t="s">
        <v>20</v>
      </c>
      <c r="E792" t="s">
        <v>21</v>
      </c>
      <c r="F792">
        <v>1</v>
      </c>
      <c r="G792">
        <v>650</v>
      </c>
      <c r="H792">
        <v>520</v>
      </c>
      <c r="I792">
        <v>0.2</v>
      </c>
      <c r="J792">
        <v>99.04</v>
      </c>
      <c r="K792" t="s">
        <v>26</v>
      </c>
      <c r="L792" t="s">
        <v>23</v>
      </c>
    </row>
    <row r="793" spans="1:12" x14ac:dyDescent="0.3">
      <c r="A793" t="s">
        <v>837</v>
      </c>
      <c r="B793" s="1">
        <v>45663</v>
      </c>
      <c r="C793" t="s">
        <v>28</v>
      </c>
      <c r="D793" t="s">
        <v>90</v>
      </c>
      <c r="E793" t="s">
        <v>97</v>
      </c>
      <c r="F793">
        <v>4</v>
      </c>
      <c r="G793">
        <v>400</v>
      </c>
      <c r="H793">
        <v>1600</v>
      </c>
      <c r="I793">
        <v>0</v>
      </c>
      <c r="J793">
        <v>668.51</v>
      </c>
      <c r="K793" t="s">
        <v>22</v>
      </c>
      <c r="L793" t="s">
        <v>23</v>
      </c>
    </row>
    <row r="794" spans="1:12" x14ac:dyDescent="0.3">
      <c r="A794" t="s">
        <v>838</v>
      </c>
      <c r="B794" s="1">
        <v>45716</v>
      </c>
      <c r="C794" t="s">
        <v>19</v>
      </c>
      <c r="D794" t="s">
        <v>36</v>
      </c>
      <c r="E794" t="s">
        <v>37</v>
      </c>
      <c r="F794">
        <v>8</v>
      </c>
      <c r="G794">
        <v>1800</v>
      </c>
      <c r="H794">
        <v>14400</v>
      </c>
      <c r="I794">
        <v>0</v>
      </c>
      <c r="J794">
        <v>3164</v>
      </c>
      <c r="K794" t="s">
        <v>22</v>
      </c>
      <c r="L794" t="s">
        <v>17</v>
      </c>
    </row>
    <row r="795" spans="1:12" x14ac:dyDescent="0.3">
      <c r="A795" t="s">
        <v>839</v>
      </c>
      <c r="B795" s="1">
        <v>45667</v>
      </c>
      <c r="C795" t="s">
        <v>19</v>
      </c>
      <c r="D795" t="s">
        <v>20</v>
      </c>
      <c r="E795" t="s">
        <v>84</v>
      </c>
      <c r="F795">
        <v>4</v>
      </c>
      <c r="G795">
        <v>3200</v>
      </c>
      <c r="H795">
        <v>10880</v>
      </c>
      <c r="I795">
        <v>0.15</v>
      </c>
      <c r="J795">
        <v>1956.58</v>
      </c>
      <c r="K795" t="s">
        <v>22</v>
      </c>
      <c r="L795" t="s">
        <v>32</v>
      </c>
    </row>
    <row r="796" spans="1:12" x14ac:dyDescent="0.3">
      <c r="A796" t="s">
        <v>840</v>
      </c>
      <c r="B796" s="1">
        <v>45995</v>
      </c>
      <c r="C796" t="s">
        <v>28</v>
      </c>
      <c r="D796" t="s">
        <v>14</v>
      </c>
      <c r="E796" t="s">
        <v>51</v>
      </c>
      <c r="F796">
        <v>4</v>
      </c>
      <c r="G796">
        <v>2500</v>
      </c>
      <c r="H796">
        <v>10000</v>
      </c>
      <c r="I796">
        <v>0</v>
      </c>
      <c r="J796">
        <v>3443.62</v>
      </c>
      <c r="K796" t="s">
        <v>22</v>
      </c>
      <c r="L796" t="s">
        <v>17</v>
      </c>
    </row>
    <row r="797" spans="1:12" x14ac:dyDescent="0.3">
      <c r="A797" t="s">
        <v>841</v>
      </c>
      <c r="B797" s="1">
        <v>45929</v>
      </c>
      <c r="C797" t="s">
        <v>35</v>
      </c>
      <c r="D797" t="s">
        <v>30</v>
      </c>
      <c r="E797" t="s">
        <v>41</v>
      </c>
      <c r="F797">
        <v>10</v>
      </c>
      <c r="G797">
        <v>600</v>
      </c>
      <c r="H797">
        <v>6000</v>
      </c>
      <c r="I797">
        <v>0</v>
      </c>
      <c r="J797">
        <v>1409.71</v>
      </c>
      <c r="K797" t="s">
        <v>22</v>
      </c>
      <c r="L797" t="s">
        <v>32</v>
      </c>
    </row>
    <row r="798" spans="1:12" x14ac:dyDescent="0.3">
      <c r="A798" t="s">
        <v>842</v>
      </c>
      <c r="B798" s="1">
        <v>46000</v>
      </c>
      <c r="C798" t="s">
        <v>19</v>
      </c>
      <c r="D798" t="s">
        <v>14</v>
      </c>
      <c r="E798" t="s">
        <v>15</v>
      </c>
      <c r="F798">
        <v>2</v>
      </c>
      <c r="G798">
        <v>1200</v>
      </c>
      <c r="H798">
        <v>2160</v>
      </c>
      <c r="I798">
        <v>0.1</v>
      </c>
      <c r="J798">
        <v>-132.78</v>
      </c>
      <c r="K798" t="s">
        <v>26</v>
      </c>
      <c r="L798" t="s">
        <v>32</v>
      </c>
    </row>
    <row r="799" spans="1:12" x14ac:dyDescent="0.3">
      <c r="A799" t="s">
        <v>843</v>
      </c>
      <c r="B799" s="1">
        <v>45781</v>
      </c>
      <c r="C799" t="s">
        <v>28</v>
      </c>
      <c r="D799" t="s">
        <v>20</v>
      </c>
      <c r="E799" t="s">
        <v>39</v>
      </c>
      <c r="F799">
        <v>1</v>
      </c>
      <c r="G799">
        <v>2800</v>
      </c>
      <c r="H799">
        <v>2660</v>
      </c>
      <c r="I799">
        <v>0.05</v>
      </c>
      <c r="J799">
        <v>742.4</v>
      </c>
      <c r="K799" t="s">
        <v>26</v>
      </c>
      <c r="L799" t="s">
        <v>17</v>
      </c>
    </row>
    <row r="800" spans="1:12" x14ac:dyDescent="0.3">
      <c r="A800" t="s">
        <v>844</v>
      </c>
      <c r="B800" s="1">
        <v>45841</v>
      </c>
      <c r="C800" t="s">
        <v>35</v>
      </c>
      <c r="D800" t="s">
        <v>14</v>
      </c>
      <c r="E800" t="s">
        <v>15</v>
      </c>
      <c r="F800">
        <v>3</v>
      </c>
      <c r="G800">
        <v>1200</v>
      </c>
      <c r="H800">
        <v>3240</v>
      </c>
      <c r="I800">
        <v>0.1</v>
      </c>
      <c r="J800">
        <v>-237.46</v>
      </c>
      <c r="K800" t="s">
        <v>26</v>
      </c>
      <c r="L800" t="s">
        <v>32</v>
      </c>
    </row>
    <row r="801" spans="1:12" x14ac:dyDescent="0.3">
      <c r="A801" t="s">
        <v>845</v>
      </c>
      <c r="B801" s="1">
        <v>45682</v>
      </c>
      <c r="C801" t="s">
        <v>56</v>
      </c>
      <c r="D801" t="s">
        <v>20</v>
      </c>
      <c r="E801" t="s">
        <v>84</v>
      </c>
      <c r="F801">
        <v>5</v>
      </c>
      <c r="G801">
        <v>3200</v>
      </c>
      <c r="H801">
        <v>16000</v>
      </c>
      <c r="I801">
        <v>0</v>
      </c>
      <c r="J801">
        <v>2991.77</v>
      </c>
      <c r="K801" t="s">
        <v>22</v>
      </c>
      <c r="L801" t="s">
        <v>17</v>
      </c>
    </row>
    <row r="802" spans="1:12" x14ac:dyDescent="0.3">
      <c r="A802" t="s">
        <v>846</v>
      </c>
      <c r="B802" s="1">
        <v>45892</v>
      </c>
      <c r="C802" t="s">
        <v>35</v>
      </c>
      <c r="D802" t="s">
        <v>30</v>
      </c>
      <c r="E802" t="s">
        <v>47</v>
      </c>
      <c r="F802">
        <v>2</v>
      </c>
      <c r="G802">
        <v>450</v>
      </c>
      <c r="H802">
        <v>810</v>
      </c>
      <c r="I802">
        <v>0.1</v>
      </c>
      <c r="J802">
        <v>-139.97999999999999</v>
      </c>
      <c r="K802" t="s">
        <v>26</v>
      </c>
      <c r="L802" t="s">
        <v>17</v>
      </c>
    </row>
    <row r="803" spans="1:12" x14ac:dyDescent="0.3">
      <c r="A803" t="s">
        <v>847</v>
      </c>
      <c r="B803" s="1">
        <v>45766</v>
      </c>
      <c r="C803" t="s">
        <v>13</v>
      </c>
      <c r="D803" t="s">
        <v>36</v>
      </c>
      <c r="E803" t="s">
        <v>91</v>
      </c>
      <c r="F803">
        <v>7</v>
      </c>
      <c r="G803">
        <v>8500</v>
      </c>
      <c r="H803">
        <v>47600</v>
      </c>
      <c r="I803">
        <v>0.2</v>
      </c>
      <c r="J803">
        <v>14686.07</v>
      </c>
      <c r="K803" t="s">
        <v>16</v>
      </c>
      <c r="L803" t="s">
        <v>23</v>
      </c>
    </row>
    <row r="804" spans="1:12" x14ac:dyDescent="0.3">
      <c r="A804" t="s">
        <v>848</v>
      </c>
      <c r="B804" s="1">
        <v>45925</v>
      </c>
      <c r="C804" t="s">
        <v>13</v>
      </c>
      <c r="D804" t="s">
        <v>14</v>
      </c>
      <c r="E804" t="s">
        <v>105</v>
      </c>
      <c r="F804">
        <v>6</v>
      </c>
      <c r="G804">
        <v>14000</v>
      </c>
      <c r="H804">
        <v>75600</v>
      </c>
      <c r="I804">
        <v>0.1</v>
      </c>
      <c r="J804">
        <v>11637</v>
      </c>
      <c r="K804" t="s">
        <v>22</v>
      </c>
      <c r="L804" t="s">
        <v>17</v>
      </c>
    </row>
    <row r="805" spans="1:12" x14ac:dyDescent="0.3">
      <c r="A805" t="s">
        <v>849</v>
      </c>
      <c r="B805" s="1">
        <v>45865</v>
      </c>
      <c r="C805" t="s">
        <v>28</v>
      </c>
      <c r="D805" t="s">
        <v>14</v>
      </c>
      <c r="E805" t="s">
        <v>15</v>
      </c>
      <c r="F805">
        <v>9</v>
      </c>
      <c r="G805">
        <v>1200</v>
      </c>
      <c r="H805">
        <v>9180</v>
      </c>
      <c r="I805">
        <v>0.15</v>
      </c>
      <c r="J805">
        <v>3047.69</v>
      </c>
      <c r="K805" t="s">
        <v>26</v>
      </c>
      <c r="L805" t="s">
        <v>23</v>
      </c>
    </row>
    <row r="806" spans="1:12" x14ac:dyDescent="0.3">
      <c r="A806" t="s">
        <v>850</v>
      </c>
      <c r="B806" s="1">
        <v>45877</v>
      </c>
      <c r="C806" t="s">
        <v>19</v>
      </c>
      <c r="D806" t="s">
        <v>30</v>
      </c>
      <c r="E806" t="s">
        <v>31</v>
      </c>
      <c r="F806">
        <v>5</v>
      </c>
      <c r="G806">
        <v>120</v>
      </c>
      <c r="H806">
        <v>600</v>
      </c>
      <c r="I806">
        <v>0</v>
      </c>
      <c r="J806">
        <v>174.34</v>
      </c>
      <c r="K806" t="s">
        <v>22</v>
      </c>
      <c r="L806" t="s">
        <v>23</v>
      </c>
    </row>
    <row r="807" spans="1:12" x14ac:dyDescent="0.3">
      <c r="A807" t="s">
        <v>851</v>
      </c>
      <c r="B807" s="1">
        <v>45888</v>
      </c>
      <c r="C807" t="s">
        <v>19</v>
      </c>
      <c r="D807" t="s">
        <v>14</v>
      </c>
      <c r="E807" t="s">
        <v>43</v>
      </c>
      <c r="F807">
        <v>5</v>
      </c>
      <c r="G807">
        <v>65000</v>
      </c>
      <c r="H807">
        <v>308750</v>
      </c>
      <c r="I807">
        <v>0.05</v>
      </c>
      <c r="J807">
        <v>84939.73</v>
      </c>
      <c r="K807" t="s">
        <v>22</v>
      </c>
      <c r="L807" t="s">
        <v>17</v>
      </c>
    </row>
    <row r="808" spans="1:12" x14ac:dyDescent="0.3">
      <c r="A808" t="s">
        <v>852</v>
      </c>
      <c r="B808" s="1">
        <v>45799</v>
      </c>
      <c r="C808" t="s">
        <v>19</v>
      </c>
      <c r="D808" t="s">
        <v>14</v>
      </c>
      <c r="E808" t="s">
        <v>105</v>
      </c>
      <c r="F808">
        <v>4</v>
      </c>
      <c r="G808">
        <v>14000</v>
      </c>
      <c r="H808">
        <v>44800</v>
      </c>
      <c r="I808">
        <v>0.2</v>
      </c>
      <c r="J808">
        <v>10712.99</v>
      </c>
      <c r="K808" t="s">
        <v>22</v>
      </c>
      <c r="L808" t="s">
        <v>17</v>
      </c>
    </row>
    <row r="809" spans="1:12" x14ac:dyDescent="0.3">
      <c r="A809" t="s">
        <v>853</v>
      </c>
      <c r="B809" s="1">
        <v>45942</v>
      </c>
      <c r="C809" t="s">
        <v>13</v>
      </c>
      <c r="D809" t="s">
        <v>30</v>
      </c>
      <c r="E809" t="s">
        <v>41</v>
      </c>
      <c r="F809">
        <v>5</v>
      </c>
      <c r="G809">
        <v>600</v>
      </c>
      <c r="H809">
        <v>3000</v>
      </c>
      <c r="I809">
        <v>0</v>
      </c>
      <c r="J809">
        <v>1080.31</v>
      </c>
      <c r="K809" t="s">
        <v>22</v>
      </c>
      <c r="L809" t="s">
        <v>23</v>
      </c>
    </row>
    <row r="810" spans="1:12" x14ac:dyDescent="0.3">
      <c r="A810" t="s">
        <v>854</v>
      </c>
      <c r="B810" s="1">
        <v>45749</v>
      </c>
      <c r="C810" t="s">
        <v>35</v>
      </c>
      <c r="D810" t="s">
        <v>20</v>
      </c>
      <c r="E810" t="s">
        <v>21</v>
      </c>
      <c r="F810">
        <v>9</v>
      </c>
      <c r="G810">
        <v>650</v>
      </c>
      <c r="H810">
        <v>5850</v>
      </c>
      <c r="I810">
        <v>0</v>
      </c>
      <c r="J810">
        <v>2530.38</v>
      </c>
      <c r="K810" t="s">
        <v>16</v>
      </c>
      <c r="L810" t="s">
        <v>17</v>
      </c>
    </row>
    <row r="811" spans="1:12" x14ac:dyDescent="0.3">
      <c r="A811" t="s">
        <v>855</v>
      </c>
      <c r="B811" s="1">
        <v>45928</v>
      </c>
      <c r="C811" t="s">
        <v>28</v>
      </c>
      <c r="D811" t="s">
        <v>30</v>
      </c>
      <c r="E811" t="s">
        <v>47</v>
      </c>
      <c r="F811">
        <v>7</v>
      </c>
      <c r="G811">
        <v>450</v>
      </c>
      <c r="H811">
        <v>2677.5</v>
      </c>
      <c r="I811">
        <v>0.15</v>
      </c>
      <c r="J811">
        <v>170.47</v>
      </c>
      <c r="K811" t="s">
        <v>16</v>
      </c>
      <c r="L811" t="s">
        <v>17</v>
      </c>
    </row>
    <row r="812" spans="1:12" x14ac:dyDescent="0.3">
      <c r="A812" t="s">
        <v>856</v>
      </c>
      <c r="B812" s="1">
        <v>45927</v>
      </c>
      <c r="C812" t="s">
        <v>19</v>
      </c>
      <c r="D812" t="s">
        <v>20</v>
      </c>
      <c r="E812" t="s">
        <v>84</v>
      </c>
      <c r="F812">
        <v>3</v>
      </c>
      <c r="G812">
        <v>3200</v>
      </c>
      <c r="H812">
        <v>9120</v>
      </c>
      <c r="I812">
        <v>0.05</v>
      </c>
      <c r="J812">
        <v>2629.95</v>
      </c>
      <c r="K812" t="s">
        <v>22</v>
      </c>
      <c r="L812" t="s">
        <v>17</v>
      </c>
    </row>
    <row r="813" spans="1:12" x14ac:dyDescent="0.3">
      <c r="A813" t="s">
        <v>857</v>
      </c>
      <c r="B813" s="1">
        <v>45801</v>
      </c>
      <c r="C813" t="s">
        <v>35</v>
      </c>
      <c r="D813" t="s">
        <v>20</v>
      </c>
      <c r="E813" t="s">
        <v>84</v>
      </c>
      <c r="F813">
        <v>7</v>
      </c>
      <c r="G813">
        <v>3200</v>
      </c>
      <c r="H813">
        <v>19040</v>
      </c>
      <c r="I813">
        <v>0.15</v>
      </c>
      <c r="J813">
        <v>3567.96</v>
      </c>
      <c r="K813" t="s">
        <v>26</v>
      </c>
      <c r="L813" t="s">
        <v>23</v>
      </c>
    </row>
    <row r="814" spans="1:12" x14ac:dyDescent="0.3">
      <c r="A814" t="s">
        <v>858</v>
      </c>
      <c r="B814" s="1">
        <v>45811</v>
      </c>
      <c r="C814" t="s">
        <v>56</v>
      </c>
      <c r="D814" t="s">
        <v>14</v>
      </c>
      <c r="E814" t="s">
        <v>15</v>
      </c>
      <c r="F814">
        <v>8</v>
      </c>
      <c r="G814">
        <v>1200</v>
      </c>
      <c r="H814">
        <v>7680</v>
      </c>
      <c r="I814">
        <v>0.2</v>
      </c>
      <c r="J814">
        <v>1751.81</v>
      </c>
      <c r="K814" t="s">
        <v>26</v>
      </c>
      <c r="L814" t="s">
        <v>17</v>
      </c>
    </row>
    <row r="815" spans="1:12" x14ac:dyDescent="0.3">
      <c r="A815" t="s">
        <v>859</v>
      </c>
      <c r="B815" s="1">
        <v>45898</v>
      </c>
      <c r="C815" t="s">
        <v>13</v>
      </c>
      <c r="D815" t="s">
        <v>14</v>
      </c>
      <c r="E815" t="s">
        <v>105</v>
      </c>
      <c r="F815">
        <v>8</v>
      </c>
      <c r="G815">
        <v>14000</v>
      </c>
      <c r="H815">
        <v>106400</v>
      </c>
      <c r="I815">
        <v>0.05</v>
      </c>
      <c r="J815">
        <v>15943.31</v>
      </c>
      <c r="K815" t="s">
        <v>16</v>
      </c>
      <c r="L815" t="s">
        <v>32</v>
      </c>
    </row>
    <row r="816" spans="1:12" x14ac:dyDescent="0.3">
      <c r="A816" t="s">
        <v>860</v>
      </c>
      <c r="B816" s="1">
        <v>45681</v>
      </c>
      <c r="C816" t="s">
        <v>56</v>
      </c>
      <c r="D816" t="s">
        <v>30</v>
      </c>
      <c r="E816" t="s">
        <v>41</v>
      </c>
      <c r="F816">
        <v>2</v>
      </c>
      <c r="G816">
        <v>600</v>
      </c>
      <c r="H816">
        <v>1080</v>
      </c>
      <c r="I816">
        <v>0.1</v>
      </c>
      <c r="J816">
        <v>128.04</v>
      </c>
      <c r="K816" t="s">
        <v>22</v>
      </c>
      <c r="L816" t="s">
        <v>32</v>
      </c>
    </row>
    <row r="817" spans="1:12" x14ac:dyDescent="0.3">
      <c r="A817" t="s">
        <v>861</v>
      </c>
      <c r="B817" s="1">
        <v>45678</v>
      </c>
      <c r="C817" t="s">
        <v>13</v>
      </c>
      <c r="D817" t="s">
        <v>30</v>
      </c>
      <c r="E817" t="s">
        <v>82</v>
      </c>
      <c r="F817">
        <v>2</v>
      </c>
      <c r="G817">
        <v>250</v>
      </c>
      <c r="H817">
        <v>425</v>
      </c>
      <c r="I817">
        <v>0.15</v>
      </c>
      <c r="J817">
        <v>123.47</v>
      </c>
      <c r="K817" t="s">
        <v>26</v>
      </c>
      <c r="L817" t="s">
        <v>17</v>
      </c>
    </row>
    <row r="818" spans="1:12" x14ac:dyDescent="0.3">
      <c r="A818" t="s">
        <v>862</v>
      </c>
      <c r="B818" s="1">
        <v>45992</v>
      </c>
      <c r="C818" t="s">
        <v>35</v>
      </c>
      <c r="D818" t="s">
        <v>30</v>
      </c>
      <c r="E818" t="s">
        <v>31</v>
      </c>
      <c r="F818">
        <v>1</v>
      </c>
      <c r="G818">
        <v>120</v>
      </c>
      <c r="H818">
        <v>108</v>
      </c>
      <c r="I818">
        <v>0.1</v>
      </c>
      <c r="J818">
        <v>22.16</v>
      </c>
      <c r="K818" t="s">
        <v>26</v>
      </c>
      <c r="L818" t="s">
        <v>23</v>
      </c>
    </row>
    <row r="819" spans="1:12" x14ac:dyDescent="0.3">
      <c r="A819" t="s">
        <v>863</v>
      </c>
      <c r="B819" s="1">
        <v>45762</v>
      </c>
      <c r="C819" t="s">
        <v>13</v>
      </c>
      <c r="D819" t="s">
        <v>20</v>
      </c>
      <c r="E819" t="s">
        <v>97</v>
      </c>
      <c r="F819">
        <v>10</v>
      </c>
      <c r="G819">
        <v>400</v>
      </c>
      <c r="H819">
        <v>3800</v>
      </c>
      <c r="I819">
        <v>0.05</v>
      </c>
      <c r="J819">
        <v>798.9</v>
      </c>
      <c r="K819" t="s">
        <v>16</v>
      </c>
      <c r="L819" t="s">
        <v>23</v>
      </c>
    </row>
    <row r="820" spans="1:12" x14ac:dyDescent="0.3">
      <c r="A820" t="s">
        <v>864</v>
      </c>
      <c r="B820" s="1">
        <v>45990</v>
      </c>
      <c r="C820" t="s">
        <v>28</v>
      </c>
      <c r="D820" t="s">
        <v>36</v>
      </c>
      <c r="E820" t="s">
        <v>37</v>
      </c>
      <c r="F820">
        <v>6</v>
      </c>
      <c r="G820">
        <v>1800</v>
      </c>
      <c r="H820">
        <v>10800</v>
      </c>
      <c r="I820">
        <v>0</v>
      </c>
      <c r="J820">
        <v>2878.74</v>
      </c>
      <c r="K820" t="s">
        <v>26</v>
      </c>
      <c r="L820" t="s">
        <v>23</v>
      </c>
    </row>
    <row r="821" spans="1:12" x14ac:dyDescent="0.3">
      <c r="A821" t="s">
        <v>865</v>
      </c>
      <c r="B821" s="1">
        <v>45961</v>
      </c>
      <c r="C821" t="s">
        <v>13</v>
      </c>
      <c r="D821" t="s">
        <v>30</v>
      </c>
      <c r="E821" t="s">
        <v>45</v>
      </c>
      <c r="F821">
        <v>2</v>
      </c>
      <c r="G821">
        <v>180</v>
      </c>
      <c r="H821">
        <v>360</v>
      </c>
      <c r="I821">
        <v>0</v>
      </c>
      <c r="J821">
        <v>82.12</v>
      </c>
      <c r="K821" t="s">
        <v>16</v>
      </c>
      <c r="L821" t="s">
        <v>32</v>
      </c>
    </row>
    <row r="822" spans="1:12" x14ac:dyDescent="0.3">
      <c r="A822" t="s">
        <v>866</v>
      </c>
      <c r="B822" s="1">
        <v>45850</v>
      </c>
      <c r="C822" t="s">
        <v>35</v>
      </c>
      <c r="D822" t="s">
        <v>30</v>
      </c>
      <c r="E822" t="s">
        <v>82</v>
      </c>
      <c r="F822">
        <v>5</v>
      </c>
      <c r="G822">
        <v>250</v>
      </c>
      <c r="H822">
        <v>1250</v>
      </c>
      <c r="I822">
        <v>0</v>
      </c>
      <c r="J822">
        <v>326.01</v>
      </c>
      <c r="K822" t="s">
        <v>22</v>
      </c>
      <c r="L822" t="s">
        <v>17</v>
      </c>
    </row>
    <row r="823" spans="1:12" x14ac:dyDescent="0.3">
      <c r="A823" t="s">
        <v>867</v>
      </c>
      <c r="B823" s="1">
        <v>46015</v>
      </c>
      <c r="C823" t="s">
        <v>19</v>
      </c>
      <c r="D823" t="s">
        <v>36</v>
      </c>
      <c r="E823" t="s">
        <v>37</v>
      </c>
      <c r="F823">
        <v>1</v>
      </c>
      <c r="G823">
        <v>12000</v>
      </c>
      <c r="H823">
        <v>10800</v>
      </c>
      <c r="I823">
        <v>0.1</v>
      </c>
      <c r="J823">
        <v>2653.37</v>
      </c>
      <c r="K823" t="s">
        <v>16</v>
      </c>
      <c r="L823" t="s">
        <v>32</v>
      </c>
    </row>
    <row r="824" spans="1:12" x14ac:dyDescent="0.3">
      <c r="A824" t="s">
        <v>868</v>
      </c>
      <c r="B824" s="1">
        <v>46020</v>
      </c>
      <c r="C824" t="s">
        <v>56</v>
      </c>
      <c r="D824" t="s">
        <v>30</v>
      </c>
      <c r="E824" t="s">
        <v>31</v>
      </c>
      <c r="F824">
        <v>9</v>
      </c>
      <c r="G824">
        <v>120</v>
      </c>
      <c r="H824">
        <v>972</v>
      </c>
      <c r="I824">
        <v>0.1</v>
      </c>
      <c r="J824">
        <v>360.64</v>
      </c>
      <c r="K824" t="s">
        <v>26</v>
      </c>
      <c r="L824" t="s">
        <v>32</v>
      </c>
    </row>
    <row r="825" spans="1:12" x14ac:dyDescent="0.3">
      <c r="A825" t="s">
        <v>869</v>
      </c>
      <c r="B825" s="1">
        <v>45767</v>
      </c>
      <c r="C825" t="s">
        <v>19</v>
      </c>
      <c r="D825" t="s">
        <v>20</v>
      </c>
      <c r="E825" t="s">
        <v>84</v>
      </c>
      <c r="F825">
        <v>6</v>
      </c>
      <c r="G825">
        <v>3200</v>
      </c>
      <c r="H825">
        <v>19200</v>
      </c>
      <c r="I825">
        <v>0</v>
      </c>
      <c r="J825">
        <v>3968.38</v>
      </c>
      <c r="K825" t="s">
        <v>22</v>
      </c>
      <c r="L825" t="s">
        <v>32</v>
      </c>
    </row>
    <row r="826" spans="1:12" x14ac:dyDescent="0.3">
      <c r="A826" t="s">
        <v>870</v>
      </c>
      <c r="B826" s="1">
        <v>45978</v>
      </c>
      <c r="C826" t="s">
        <v>35</v>
      </c>
      <c r="D826" t="s">
        <v>36</v>
      </c>
      <c r="E826" t="s">
        <v>37</v>
      </c>
      <c r="F826">
        <v>5</v>
      </c>
      <c r="G826">
        <v>1800</v>
      </c>
      <c r="H826">
        <v>7650</v>
      </c>
      <c r="I826">
        <v>0.15</v>
      </c>
      <c r="J826">
        <v>2527.08</v>
      </c>
      <c r="K826" t="s">
        <v>22</v>
      </c>
      <c r="L826" t="s">
        <v>17</v>
      </c>
    </row>
    <row r="827" spans="1:12" x14ac:dyDescent="0.3">
      <c r="A827" t="s">
        <v>871</v>
      </c>
      <c r="B827" s="1">
        <v>45788</v>
      </c>
      <c r="C827" t="s">
        <v>56</v>
      </c>
      <c r="D827" t="s">
        <v>36</v>
      </c>
      <c r="E827" t="s">
        <v>37</v>
      </c>
      <c r="F827">
        <v>6</v>
      </c>
      <c r="G827">
        <v>12000</v>
      </c>
      <c r="H827">
        <v>72000</v>
      </c>
      <c r="I827">
        <v>0</v>
      </c>
      <c r="J827">
        <v>20575.310000000001</v>
      </c>
      <c r="K827" t="s">
        <v>26</v>
      </c>
      <c r="L827" t="s">
        <v>32</v>
      </c>
    </row>
    <row r="828" spans="1:12" x14ac:dyDescent="0.3">
      <c r="A828" t="s">
        <v>872</v>
      </c>
      <c r="B828" s="1">
        <v>45934</v>
      </c>
      <c r="C828" t="s">
        <v>28</v>
      </c>
      <c r="D828" t="s">
        <v>14</v>
      </c>
      <c r="E828" t="s">
        <v>51</v>
      </c>
      <c r="F828">
        <v>7</v>
      </c>
      <c r="G828">
        <v>2500</v>
      </c>
      <c r="H828">
        <v>14000</v>
      </c>
      <c r="I828">
        <v>0.2</v>
      </c>
      <c r="J828">
        <v>370.68</v>
      </c>
      <c r="K828" t="s">
        <v>16</v>
      </c>
      <c r="L828" t="s">
        <v>17</v>
      </c>
    </row>
    <row r="829" spans="1:12" x14ac:dyDescent="0.3">
      <c r="A829" t="s">
        <v>873</v>
      </c>
      <c r="B829" s="1">
        <v>45863</v>
      </c>
      <c r="C829" t="s">
        <v>35</v>
      </c>
      <c r="D829" t="s">
        <v>20</v>
      </c>
      <c r="E829" t="s">
        <v>21</v>
      </c>
      <c r="F829">
        <v>8</v>
      </c>
      <c r="G829">
        <v>650</v>
      </c>
      <c r="H829">
        <v>4420</v>
      </c>
      <c r="I829">
        <v>0.15</v>
      </c>
      <c r="J829">
        <v>-653.54999999999995</v>
      </c>
      <c r="K829" t="s">
        <v>16</v>
      </c>
      <c r="L829" t="s">
        <v>32</v>
      </c>
    </row>
    <row r="830" spans="1:12" x14ac:dyDescent="0.3">
      <c r="A830" t="s">
        <v>874</v>
      </c>
      <c r="B830" s="1">
        <v>45768</v>
      </c>
      <c r="C830" t="s">
        <v>56</v>
      </c>
      <c r="D830" t="s">
        <v>36</v>
      </c>
      <c r="E830" t="s">
        <v>37</v>
      </c>
      <c r="F830">
        <v>6</v>
      </c>
      <c r="G830">
        <v>1800</v>
      </c>
      <c r="H830">
        <v>10800</v>
      </c>
      <c r="I830">
        <v>0</v>
      </c>
      <c r="J830">
        <v>4364.3599999999997</v>
      </c>
      <c r="K830" t="s">
        <v>16</v>
      </c>
      <c r="L830" t="s">
        <v>32</v>
      </c>
    </row>
    <row r="831" spans="1:12" x14ac:dyDescent="0.3">
      <c r="A831" t="s">
        <v>875</v>
      </c>
      <c r="B831" s="1">
        <v>45835</v>
      </c>
      <c r="C831" t="s">
        <v>28</v>
      </c>
      <c r="D831" t="s">
        <v>20</v>
      </c>
      <c r="E831" t="s">
        <v>97</v>
      </c>
      <c r="F831">
        <v>3</v>
      </c>
      <c r="G831">
        <v>400</v>
      </c>
      <c r="H831">
        <v>1080</v>
      </c>
      <c r="I831">
        <v>0.1</v>
      </c>
      <c r="J831">
        <v>-274.83999999999997</v>
      </c>
      <c r="K831" t="s">
        <v>22</v>
      </c>
      <c r="L831" t="s">
        <v>23</v>
      </c>
    </row>
    <row r="832" spans="1:12" x14ac:dyDescent="0.3">
      <c r="A832" t="s">
        <v>876</v>
      </c>
      <c r="B832" s="1">
        <v>45731</v>
      </c>
      <c r="C832" t="s">
        <v>19</v>
      </c>
      <c r="D832" t="s">
        <v>36</v>
      </c>
      <c r="E832" t="s">
        <v>91</v>
      </c>
      <c r="F832">
        <v>8</v>
      </c>
      <c r="G832">
        <v>8500</v>
      </c>
      <c r="H832">
        <v>61200</v>
      </c>
      <c r="I832">
        <v>0.1</v>
      </c>
      <c r="J832">
        <v>18949.34</v>
      </c>
      <c r="K832" t="s">
        <v>26</v>
      </c>
      <c r="L832" t="s">
        <v>23</v>
      </c>
    </row>
    <row r="833" spans="1:12" x14ac:dyDescent="0.3">
      <c r="A833" t="s">
        <v>877</v>
      </c>
      <c r="B833" s="1">
        <v>45867</v>
      </c>
      <c r="C833" t="s">
        <v>13</v>
      </c>
      <c r="D833" t="s">
        <v>14</v>
      </c>
      <c r="E833" t="s">
        <v>25</v>
      </c>
      <c r="F833">
        <v>5</v>
      </c>
      <c r="G833">
        <v>3200</v>
      </c>
      <c r="H833">
        <v>16000</v>
      </c>
      <c r="I833">
        <v>0</v>
      </c>
      <c r="J833">
        <v>6052.9</v>
      </c>
      <c r="K833" t="s">
        <v>26</v>
      </c>
      <c r="L833" t="s">
        <v>23</v>
      </c>
    </row>
    <row r="834" spans="1:12" x14ac:dyDescent="0.3">
      <c r="A834" t="s">
        <v>878</v>
      </c>
      <c r="B834" s="1">
        <v>45959</v>
      </c>
      <c r="C834" t="s">
        <v>56</v>
      </c>
      <c r="D834" t="s">
        <v>20</v>
      </c>
      <c r="E834" t="s">
        <v>97</v>
      </c>
      <c r="F834">
        <v>4</v>
      </c>
      <c r="G834">
        <v>400</v>
      </c>
      <c r="H834">
        <v>1280</v>
      </c>
      <c r="I834">
        <v>0.2</v>
      </c>
      <c r="J834">
        <v>119.13</v>
      </c>
      <c r="K834" t="s">
        <v>26</v>
      </c>
      <c r="L834" t="s">
        <v>17</v>
      </c>
    </row>
    <row r="835" spans="1:12" x14ac:dyDescent="0.3">
      <c r="A835" t="s">
        <v>879</v>
      </c>
      <c r="B835" s="1">
        <v>45809</v>
      </c>
      <c r="C835" t="s">
        <v>35</v>
      </c>
      <c r="D835" t="s">
        <v>30</v>
      </c>
      <c r="E835" t="s">
        <v>41</v>
      </c>
      <c r="F835">
        <v>9</v>
      </c>
      <c r="G835">
        <v>600</v>
      </c>
      <c r="H835">
        <v>4590</v>
      </c>
      <c r="I835">
        <v>0.15</v>
      </c>
      <c r="J835">
        <v>1356.35</v>
      </c>
      <c r="K835" t="s">
        <v>22</v>
      </c>
      <c r="L835" t="s">
        <v>23</v>
      </c>
    </row>
    <row r="836" spans="1:12" x14ac:dyDescent="0.3">
      <c r="A836" t="s">
        <v>880</v>
      </c>
      <c r="B836" s="1">
        <v>45883</v>
      </c>
      <c r="C836" t="s">
        <v>35</v>
      </c>
      <c r="D836" t="s">
        <v>20</v>
      </c>
      <c r="E836" t="s">
        <v>21</v>
      </c>
      <c r="F836">
        <v>10</v>
      </c>
      <c r="G836">
        <v>650</v>
      </c>
      <c r="H836">
        <v>5850</v>
      </c>
      <c r="I836">
        <v>0.1</v>
      </c>
      <c r="J836">
        <v>1599.01</v>
      </c>
      <c r="K836" t="s">
        <v>16</v>
      </c>
      <c r="L836" t="s">
        <v>23</v>
      </c>
    </row>
    <row r="837" spans="1:12" x14ac:dyDescent="0.3">
      <c r="A837" t="s">
        <v>881</v>
      </c>
      <c r="B837" s="1">
        <v>45741</v>
      </c>
      <c r="C837" t="s">
        <v>35</v>
      </c>
      <c r="D837" t="s">
        <v>30</v>
      </c>
      <c r="E837" t="s">
        <v>47</v>
      </c>
      <c r="F837">
        <v>6</v>
      </c>
      <c r="G837">
        <v>450</v>
      </c>
      <c r="H837">
        <v>2430</v>
      </c>
      <c r="I837">
        <v>0.1</v>
      </c>
      <c r="J837">
        <v>470.23</v>
      </c>
      <c r="K837" t="s">
        <v>16</v>
      </c>
      <c r="L837" t="s">
        <v>23</v>
      </c>
    </row>
    <row r="838" spans="1:12" x14ac:dyDescent="0.3">
      <c r="A838" t="s">
        <v>882</v>
      </c>
      <c r="B838" s="1">
        <v>45905</v>
      </c>
      <c r="C838" t="s">
        <v>28</v>
      </c>
      <c r="D838" t="s">
        <v>14</v>
      </c>
      <c r="E838" t="s">
        <v>43</v>
      </c>
      <c r="F838">
        <v>9</v>
      </c>
      <c r="G838">
        <v>65000</v>
      </c>
      <c r="H838">
        <v>585000</v>
      </c>
      <c r="I838">
        <v>0</v>
      </c>
      <c r="J838">
        <v>177473.39</v>
      </c>
      <c r="K838" t="s">
        <v>22</v>
      </c>
      <c r="L838" t="s">
        <v>17</v>
      </c>
    </row>
    <row r="839" spans="1:12" x14ac:dyDescent="0.3">
      <c r="A839" t="s">
        <v>883</v>
      </c>
      <c r="B839" s="1">
        <v>45936</v>
      </c>
      <c r="C839" t="s">
        <v>35</v>
      </c>
      <c r="D839" t="s">
        <v>30</v>
      </c>
      <c r="E839" t="s">
        <v>41</v>
      </c>
      <c r="F839">
        <v>1</v>
      </c>
      <c r="G839">
        <v>600</v>
      </c>
      <c r="H839">
        <v>570</v>
      </c>
      <c r="I839">
        <v>0.05</v>
      </c>
      <c r="J839">
        <v>160.38</v>
      </c>
      <c r="K839" t="s">
        <v>22</v>
      </c>
      <c r="L839" t="s">
        <v>23</v>
      </c>
    </row>
    <row r="840" spans="1:12" x14ac:dyDescent="0.3">
      <c r="A840" t="s">
        <v>884</v>
      </c>
      <c r="B840" s="1">
        <v>45757</v>
      </c>
      <c r="C840" t="s">
        <v>35</v>
      </c>
      <c r="D840" t="s">
        <v>14</v>
      </c>
      <c r="E840" t="s">
        <v>15</v>
      </c>
      <c r="F840">
        <v>8</v>
      </c>
      <c r="G840">
        <v>1200</v>
      </c>
      <c r="H840">
        <v>9600</v>
      </c>
      <c r="I840">
        <v>0</v>
      </c>
      <c r="J840">
        <v>2045.51</v>
      </c>
      <c r="K840" t="s">
        <v>26</v>
      </c>
      <c r="L840" t="s">
        <v>23</v>
      </c>
    </row>
    <row r="841" spans="1:12" x14ac:dyDescent="0.3">
      <c r="A841" t="s">
        <v>885</v>
      </c>
      <c r="B841" s="1">
        <v>45852</v>
      </c>
      <c r="C841" t="s">
        <v>19</v>
      </c>
      <c r="D841" t="s">
        <v>20</v>
      </c>
      <c r="E841" t="s">
        <v>39</v>
      </c>
      <c r="F841">
        <v>8</v>
      </c>
      <c r="G841">
        <v>2800</v>
      </c>
      <c r="H841">
        <v>20160</v>
      </c>
      <c r="I841">
        <v>0.1</v>
      </c>
      <c r="J841">
        <v>6969.23</v>
      </c>
      <c r="K841" t="s">
        <v>16</v>
      </c>
      <c r="L841" t="s">
        <v>23</v>
      </c>
    </row>
    <row r="842" spans="1:12" x14ac:dyDescent="0.3">
      <c r="A842" t="s">
        <v>886</v>
      </c>
      <c r="B842" s="1">
        <v>45967</v>
      </c>
      <c r="C842" t="s">
        <v>35</v>
      </c>
      <c r="D842" t="s">
        <v>20</v>
      </c>
      <c r="E842" t="s">
        <v>84</v>
      </c>
      <c r="F842">
        <v>7</v>
      </c>
      <c r="G842">
        <v>3200</v>
      </c>
      <c r="H842">
        <v>21280</v>
      </c>
      <c r="I842">
        <v>0.05</v>
      </c>
      <c r="J842">
        <v>4561.09</v>
      </c>
      <c r="K842" t="s">
        <v>26</v>
      </c>
      <c r="L842" t="s">
        <v>32</v>
      </c>
    </row>
    <row r="843" spans="1:12" x14ac:dyDescent="0.3">
      <c r="A843" t="s">
        <v>887</v>
      </c>
      <c r="B843" s="1">
        <v>45663</v>
      </c>
      <c r="C843" t="s">
        <v>28</v>
      </c>
      <c r="D843" t="s">
        <v>36</v>
      </c>
      <c r="E843" t="s">
        <v>37</v>
      </c>
      <c r="F843">
        <v>9</v>
      </c>
      <c r="G843">
        <v>12000</v>
      </c>
      <c r="H843">
        <v>97200</v>
      </c>
      <c r="I843">
        <v>0.1</v>
      </c>
      <c r="J843">
        <v>26201.32</v>
      </c>
      <c r="K843" t="s">
        <v>22</v>
      </c>
      <c r="L843" t="s">
        <v>17</v>
      </c>
    </row>
    <row r="844" spans="1:12" x14ac:dyDescent="0.3">
      <c r="A844" t="s">
        <v>888</v>
      </c>
      <c r="B844" s="1">
        <v>45842</v>
      </c>
      <c r="C844" t="s">
        <v>13</v>
      </c>
      <c r="D844" t="s">
        <v>30</v>
      </c>
      <c r="E844" t="s">
        <v>41</v>
      </c>
      <c r="F844">
        <v>10</v>
      </c>
      <c r="G844">
        <v>600</v>
      </c>
      <c r="H844">
        <v>5700</v>
      </c>
      <c r="I844">
        <v>0.05</v>
      </c>
      <c r="J844">
        <v>1377.29</v>
      </c>
      <c r="K844" t="s">
        <v>22</v>
      </c>
      <c r="L844" t="s">
        <v>32</v>
      </c>
    </row>
    <row r="845" spans="1:12" x14ac:dyDescent="0.3">
      <c r="A845" t="s">
        <v>889</v>
      </c>
      <c r="B845" s="1">
        <v>45799</v>
      </c>
      <c r="C845" t="s">
        <v>28</v>
      </c>
      <c r="D845" t="s">
        <v>90</v>
      </c>
      <c r="E845" t="s">
        <v>41</v>
      </c>
      <c r="F845">
        <v>6</v>
      </c>
      <c r="G845">
        <v>600</v>
      </c>
      <c r="H845">
        <v>3240</v>
      </c>
      <c r="I845">
        <v>0.1</v>
      </c>
      <c r="J845">
        <v>511.78</v>
      </c>
      <c r="K845" t="s">
        <v>16</v>
      </c>
      <c r="L845" t="s">
        <v>32</v>
      </c>
    </row>
    <row r="846" spans="1:12" x14ac:dyDescent="0.3">
      <c r="A846" t="s">
        <v>890</v>
      </c>
      <c r="B846" s="1">
        <v>45931</v>
      </c>
      <c r="C846" t="s">
        <v>28</v>
      </c>
      <c r="D846" t="s">
        <v>36</v>
      </c>
      <c r="E846" t="s">
        <v>91</v>
      </c>
      <c r="F846">
        <v>4</v>
      </c>
      <c r="G846">
        <v>8500</v>
      </c>
      <c r="H846">
        <v>34000</v>
      </c>
      <c r="I846">
        <v>0</v>
      </c>
      <c r="J846">
        <v>12449.15</v>
      </c>
      <c r="K846" t="s">
        <v>26</v>
      </c>
      <c r="L846" t="s">
        <v>32</v>
      </c>
    </row>
    <row r="847" spans="1:12" x14ac:dyDescent="0.3">
      <c r="A847" t="s">
        <v>891</v>
      </c>
      <c r="B847" s="1">
        <v>45706</v>
      </c>
      <c r="C847" t="s">
        <v>28</v>
      </c>
      <c r="D847" t="s">
        <v>30</v>
      </c>
      <c r="E847" t="s">
        <v>31</v>
      </c>
      <c r="F847">
        <v>10</v>
      </c>
      <c r="G847">
        <v>120</v>
      </c>
      <c r="H847">
        <v>1020</v>
      </c>
      <c r="I847">
        <v>0.15</v>
      </c>
      <c r="J847">
        <v>44.32</v>
      </c>
      <c r="K847" t="s">
        <v>16</v>
      </c>
      <c r="L847" t="s">
        <v>17</v>
      </c>
    </row>
    <row r="848" spans="1:12" x14ac:dyDescent="0.3">
      <c r="A848" t="s">
        <v>892</v>
      </c>
      <c r="B848" s="1">
        <v>46021</v>
      </c>
      <c r="C848" t="s">
        <v>35</v>
      </c>
      <c r="D848" t="s">
        <v>14</v>
      </c>
      <c r="E848" t="s">
        <v>25</v>
      </c>
      <c r="F848">
        <v>2</v>
      </c>
      <c r="G848">
        <v>3200</v>
      </c>
      <c r="H848">
        <v>6400</v>
      </c>
      <c r="I848">
        <v>0</v>
      </c>
      <c r="J848">
        <v>1934.93</v>
      </c>
      <c r="K848" t="s">
        <v>22</v>
      </c>
      <c r="L848" t="s">
        <v>23</v>
      </c>
    </row>
    <row r="849" spans="1:12" x14ac:dyDescent="0.3">
      <c r="A849" t="s">
        <v>893</v>
      </c>
      <c r="B849" s="1">
        <v>45722</v>
      </c>
      <c r="C849" t="s">
        <v>28</v>
      </c>
      <c r="D849" t="s">
        <v>36</v>
      </c>
      <c r="E849" t="s">
        <v>37</v>
      </c>
      <c r="F849">
        <v>7</v>
      </c>
      <c r="G849">
        <v>1800</v>
      </c>
      <c r="H849">
        <v>12600</v>
      </c>
      <c r="I849">
        <v>0</v>
      </c>
      <c r="J849">
        <v>4822.13</v>
      </c>
      <c r="K849" t="s">
        <v>26</v>
      </c>
      <c r="L849" t="s">
        <v>23</v>
      </c>
    </row>
    <row r="850" spans="1:12" x14ac:dyDescent="0.3">
      <c r="A850" t="s">
        <v>894</v>
      </c>
      <c r="B850" s="1">
        <v>45781</v>
      </c>
      <c r="C850" t="s">
        <v>28</v>
      </c>
      <c r="D850" t="s">
        <v>14</v>
      </c>
      <c r="E850" t="s">
        <v>105</v>
      </c>
      <c r="F850">
        <v>1</v>
      </c>
      <c r="G850">
        <v>14000</v>
      </c>
      <c r="H850">
        <v>11200</v>
      </c>
      <c r="I850">
        <v>0.2</v>
      </c>
      <c r="J850">
        <v>-251.47</v>
      </c>
      <c r="K850" t="s">
        <v>22</v>
      </c>
      <c r="L850" t="s">
        <v>17</v>
      </c>
    </row>
    <row r="851" spans="1:12" x14ac:dyDescent="0.3">
      <c r="A851" t="s">
        <v>895</v>
      </c>
      <c r="B851" s="1">
        <v>45987</v>
      </c>
      <c r="C851" t="s">
        <v>35</v>
      </c>
      <c r="D851" t="s">
        <v>30</v>
      </c>
      <c r="E851" t="s">
        <v>45</v>
      </c>
      <c r="F851">
        <v>5</v>
      </c>
      <c r="G851">
        <v>180</v>
      </c>
      <c r="H851">
        <v>855</v>
      </c>
      <c r="I851">
        <v>0.05</v>
      </c>
      <c r="J851">
        <v>-53.6</v>
      </c>
      <c r="K851" t="s">
        <v>22</v>
      </c>
      <c r="L851" t="s">
        <v>32</v>
      </c>
    </row>
    <row r="852" spans="1:12" x14ac:dyDescent="0.3">
      <c r="A852" t="s">
        <v>896</v>
      </c>
      <c r="B852" s="1">
        <v>45716</v>
      </c>
      <c r="C852" t="s">
        <v>56</v>
      </c>
      <c r="D852" t="s">
        <v>36</v>
      </c>
      <c r="E852" t="s">
        <v>37</v>
      </c>
      <c r="F852">
        <v>4</v>
      </c>
      <c r="G852">
        <v>12000</v>
      </c>
      <c r="H852">
        <v>38400</v>
      </c>
      <c r="I852">
        <v>0.2</v>
      </c>
      <c r="J852">
        <v>9773.2199999999993</v>
      </c>
      <c r="K852" t="s">
        <v>16</v>
      </c>
      <c r="L852" t="s">
        <v>23</v>
      </c>
    </row>
    <row r="853" spans="1:12" x14ac:dyDescent="0.3">
      <c r="A853" t="s">
        <v>897</v>
      </c>
      <c r="B853" s="1">
        <v>45881</v>
      </c>
      <c r="C853" t="s">
        <v>13</v>
      </c>
      <c r="D853" t="s">
        <v>36</v>
      </c>
      <c r="E853" t="s">
        <v>37</v>
      </c>
      <c r="F853">
        <v>8</v>
      </c>
      <c r="G853">
        <v>1800</v>
      </c>
      <c r="H853">
        <v>14400</v>
      </c>
      <c r="I853">
        <v>0</v>
      </c>
      <c r="J853">
        <v>3876.92</v>
      </c>
      <c r="K853" t="s">
        <v>26</v>
      </c>
      <c r="L853" t="s">
        <v>17</v>
      </c>
    </row>
    <row r="854" spans="1:12" x14ac:dyDescent="0.3">
      <c r="A854" t="s">
        <v>898</v>
      </c>
      <c r="B854" s="1">
        <v>45687</v>
      </c>
      <c r="C854" t="s">
        <v>19</v>
      </c>
      <c r="D854" t="s">
        <v>30</v>
      </c>
      <c r="E854" t="s">
        <v>82</v>
      </c>
      <c r="F854">
        <v>4</v>
      </c>
      <c r="G854">
        <v>250</v>
      </c>
      <c r="H854">
        <v>1000</v>
      </c>
      <c r="I854">
        <v>0</v>
      </c>
      <c r="J854">
        <v>378.61</v>
      </c>
      <c r="K854" t="s">
        <v>22</v>
      </c>
      <c r="L854" t="s">
        <v>17</v>
      </c>
    </row>
    <row r="855" spans="1:12" x14ac:dyDescent="0.3">
      <c r="A855" t="s">
        <v>899</v>
      </c>
      <c r="B855" s="1">
        <v>45752</v>
      </c>
      <c r="C855" t="s">
        <v>13</v>
      </c>
      <c r="D855" t="s">
        <v>14</v>
      </c>
      <c r="E855" t="s">
        <v>65</v>
      </c>
      <c r="F855">
        <v>1</v>
      </c>
      <c r="G855">
        <v>700</v>
      </c>
      <c r="H855">
        <v>700</v>
      </c>
      <c r="I855">
        <v>0</v>
      </c>
      <c r="J855">
        <v>240.31</v>
      </c>
      <c r="K855" t="s">
        <v>16</v>
      </c>
      <c r="L855" t="s">
        <v>32</v>
      </c>
    </row>
    <row r="856" spans="1:12" x14ac:dyDescent="0.3">
      <c r="A856" t="s">
        <v>900</v>
      </c>
      <c r="B856" s="1">
        <v>45875</v>
      </c>
      <c r="C856" t="s">
        <v>19</v>
      </c>
      <c r="D856" t="s">
        <v>20</v>
      </c>
      <c r="E856" t="s">
        <v>39</v>
      </c>
      <c r="F856">
        <v>4</v>
      </c>
      <c r="G856">
        <v>2800</v>
      </c>
      <c r="H856">
        <v>11200</v>
      </c>
      <c r="I856">
        <v>0</v>
      </c>
      <c r="J856">
        <v>3703.23</v>
      </c>
      <c r="K856" t="s">
        <v>26</v>
      </c>
      <c r="L856" t="s">
        <v>32</v>
      </c>
    </row>
    <row r="857" spans="1:12" x14ac:dyDescent="0.3">
      <c r="A857" t="s">
        <v>901</v>
      </c>
      <c r="B857" s="1">
        <v>45880</v>
      </c>
      <c r="C857" t="s">
        <v>35</v>
      </c>
      <c r="D857" t="s">
        <v>20</v>
      </c>
      <c r="E857" t="s">
        <v>84</v>
      </c>
      <c r="F857">
        <v>4</v>
      </c>
      <c r="G857">
        <v>3200</v>
      </c>
      <c r="H857">
        <v>10880</v>
      </c>
      <c r="I857">
        <v>0.15</v>
      </c>
      <c r="J857">
        <v>1976.7</v>
      </c>
      <c r="K857" t="s">
        <v>26</v>
      </c>
      <c r="L857" t="s">
        <v>23</v>
      </c>
    </row>
    <row r="858" spans="1:12" x14ac:dyDescent="0.3">
      <c r="A858" t="s">
        <v>902</v>
      </c>
      <c r="B858" s="1">
        <v>45778</v>
      </c>
      <c r="C858" t="s">
        <v>56</v>
      </c>
      <c r="D858" t="s">
        <v>30</v>
      </c>
      <c r="E858" t="s">
        <v>45</v>
      </c>
      <c r="F858">
        <v>4</v>
      </c>
      <c r="G858">
        <v>180</v>
      </c>
      <c r="H858">
        <v>684</v>
      </c>
      <c r="I858">
        <v>0.05</v>
      </c>
      <c r="J858">
        <v>233.46</v>
      </c>
      <c r="K858" t="s">
        <v>26</v>
      </c>
      <c r="L858" t="s">
        <v>23</v>
      </c>
    </row>
    <row r="859" spans="1:12" x14ac:dyDescent="0.3">
      <c r="A859" t="s">
        <v>903</v>
      </c>
      <c r="B859" s="1">
        <v>45840</v>
      </c>
      <c r="C859" t="s">
        <v>19</v>
      </c>
      <c r="D859" t="s">
        <v>30</v>
      </c>
      <c r="E859" t="s">
        <v>41</v>
      </c>
      <c r="F859">
        <v>10</v>
      </c>
      <c r="G859">
        <v>600</v>
      </c>
      <c r="H859">
        <v>6000</v>
      </c>
      <c r="I859">
        <v>0</v>
      </c>
      <c r="J859">
        <v>2460.37</v>
      </c>
      <c r="K859" t="s">
        <v>26</v>
      </c>
      <c r="L859" t="s">
        <v>32</v>
      </c>
    </row>
    <row r="860" spans="1:12" x14ac:dyDescent="0.3">
      <c r="A860" t="s">
        <v>904</v>
      </c>
      <c r="B860" s="1">
        <v>45789</v>
      </c>
      <c r="C860" t="s">
        <v>19</v>
      </c>
      <c r="D860" t="s">
        <v>20</v>
      </c>
      <c r="E860" t="s">
        <v>84</v>
      </c>
      <c r="F860">
        <v>4</v>
      </c>
      <c r="G860">
        <v>3200</v>
      </c>
      <c r="H860">
        <v>11520</v>
      </c>
      <c r="I860">
        <v>0.1</v>
      </c>
      <c r="J860">
        <v>2364.81</v>
      </c>
      <c r="K860" t="s">
        <v>22</v>
      </c>
      <c r="L860" t="s">
        <v>17</v>
      </c>
    </row>
    <row r="861" spans="1:12" x14ac:dyDescent="0.3">
      <c r="A861" t="s">
        <v>905</v>
      </c>
      <c r="B861" s="1">
        <v>45830</v>
      </c>
      <c r="C861" t="s">
        <v>19</v>
      </c>
      <c r="D861" t="s">
        <v>14</v>
      </c>
      <c r="E861" t="s">
        <v>51</v>
      </c>
      <c r="F861">
        <v>8</v>
      </c>
      <c r="G861">
        <v>2500</v>
      </c>
      <c r="H861">
        <v>18000</v>
      </c>
      <c r="I861">
        <v>0.1</v>
      </c>
      <c r="J861">
        <v>5381.79</v>
      </c>
      <c r="K861" t="s">
        <v>26</v>
      </c>
      <c r="L861" t="s">
        <v>32</v>
      </c>
    </row>
    <row r="862" spans="1:12" x14ac:dyDescent="0.3">
      <c r="A862" t="s">
        <v>906</v>
      </c>
      <c r="B862" s="1">
        <v>45856</v>
      </c>
      <c r="C862" t="s">
        <v>13</v>
      </c>
      <c r="D862" t="s">
        <v>14</v>
      </c>
      <c r="E862" t="s">
        <v>25</v>
      </c>
      <c r="F862">
        <v>4</v>
      </c>
      <c r="G862">
        <v>3200</v>
      </c>
      <c r="H862">
        <v>12800</v>
      </c>
      <c r="I862">
        <v>0</v>
      </c>
      <c r="J862">
        <v>4154.76</v>
      </c>
      <c r="K862" t="s">
        <v>22</v>
      </c>
      <c r="L862" t="s">
        <v>23</v>
      </c>
    </row>
    <row r="863" spans="1:12" x14ac:dyDescent="0.3">
      <c r="A863" t="s">
        <v>907</v>
      </c>
      <c r="B863" s="1">
        <v>45999</v>
      </c>
      <c r="C863" t="s">
        <v>35</v>
      </c>
      <c r="D863" t="s">
        <v>30</v>
      </c>
      <c r="E863" t="s">
        <v>82</v>
      </c>
      <c r="F863">
        <v>9</v>
      </c>
      <c r="G863">
        <v>250</v>
      </c>
      <c r="H863">
        <v>2137.5</v>
      </c>
      <c r="I863">
        <v>0.05</v>
      </c>
      <c r="J863">
        <v>441.44</v>
      </c>
      <c r="K863" t="s">
        <v>26</v>
      </c>
      <c r="L863" t="s">
        <v>17</v>
      </c>
    </row>
    <row r="864" spans="1:12" x14ac:dyDescent="0.3">
      <c r="A864" t="s">
        <v>908</v>
      </c>
      <c r="B864" s="1">
        <v>45809</v>
      </c>
      <c r="C864" t="s">
        <v>19</v>
      </c>
      <c r="D864" t="s">
        <v>36</v>
      </c>
      <c r="E864" t="s">
        <v>54</v>
      </c>
      <c r="F864">
        <v>6</v>
      </c>
      <c r="G864">
        <v>7000</v>
      </c>
      <c r="H864">
        <v>37800</v>
      </c>
      <c r="I864">
        <v>0.1</v>
      </c>
      <c r="J864">
        <v>12156.32</v>
      </c>
      <c r="K864" t="s">
        <v>26</v>
      </c>
      <c r="L864" t="s">
        <v>32</v>
      </c>
    </row>
    <row r="865" spans="1:12" x14ac:dyDescent="0.3">
      <c r="A865" t="s">
        <v>909</v>
      </c>
      <c r="B865" s="1">
        <v>46006</v>
      </c>
      <c r="C865" t="s">
        <v>56</v>
      </c>
      <c r="D865" t="s">
        <v>36</v>
      </c>
      <c r="E865" t="s">
        <v>54</v>
      </c>
      <c r="F865">
        <v>8</v>
      </c>
      <c r="G865">
        <v>7000</v>
      </c>
      <c r="H865">
        <v>53200</v>
      </c>
      <c r="I865">
        <v>0.05</v>
      </c>
      <c r="J865">
        <v>11946.58</v>
      </c>
      <c r="K865" t="s">
        <v>26</v>
      </c>
      <c r="L865" t="s">
        <v>17</v>
      </c>
    </row>
    <row r="866" spans="1:12" x14ac:dyDescent="0.3">
      <c r="A866" t="s">
        <v>910</v>
      </c>
      <c r="B866" s="1">
        <v>45914</v>
      </c>
      <c r="C866" t="s">
        <v>35</v>
      </c>
      <c r="D866" t="s">
        <v>14</v>
      </c>
      <c r="E866" t="s">
        <v>65</v>
      </c>
      <c r="F866">
        <v>3</v>
      </c>
      <c r="G866">
        <v>700</v>
      </c>
      <c r="H866">
        <v>2100</v>
      </c>
      <c r="I866">
        <v>0</v>
      </c>
      <c r="J866">
        <v>640.94000000000005</v>
      </c>
      <c r="K866" t="s">
        <v>22</v>
      </c>
      <c r="L866" t="s">
        <v>17</v>
      </c>
    </row>
    <row r="867" spans="1:12" x14ac:dyDescent="0.3">
      <c r="A867" t="s">
        <v>911</v>
      </c>
      <c r="B867" s="1">
        <v>45944</v>
      </c>
      <c r="C867" t="s">
        <v>28</v>
      </c>
      <c r="D867" t="s">
        <v>14</v>
      </c>
      <c r="E867" t="s">
        <v>51</v>
      </c>
      <c r="F867">
        <v>6</v>
      </c>
      <c r="G867">
        <v>2500</v>
      </c>
      <c r="H867">
        <v>12000</v>
      </c>
      <c r="I867">
        <v>0.2</v>
      </c>
      <c r="J867">
        <v>1625.68</v>
      </c>
      <c r="K867" t="s">
        <v>22</v>
      </c>
      <c r="L867" t="s">
        <v>23</v>
      </c>
    </row>
    <row r="868" spans="1:12" x14ac:dyDescent="0.3">
      <c r="A868" t="s">
        <v>912</v>
      </c>
      <c r="B868" s="1">
        <v>45847</v>
      </c>
      <c r="C868" t="s">
        <v>56</v>
      </c>
      <c r="D868" t="s">
        <v>30</v>
      </c>
      <c r="E868" t="s">
        <v>82</v>
      </c>
      <c r="F868">
        <v>6</v>
      </c>
      <c r="G868">
        <v>250</v>
      </c>
      <c r="H868">
        <v>1500</v>
      </c>
      <c r="I868">
        <v>0</v>
      </c>
      <c r="J868">
        <v>286.23</v>
      </c>
      <c r="K868" t="s">
        <v>26</v>
      </c>
      <c r="L868" t="s">
        <v>23</v>
      </c>
    </row>
    <row r="869" spans="1:12" x14ac:dyDescent="0.3">
      <c r="A869" t="s">
        <v>913</v>
      </c>
      <c r="B869" s="1">
        <v>45724</v>
      </c>
      <c r="C869" t="s">
        <v>35</v>
      </c>
      <c r="D869" t="s">
        <v>14</v>
      </c>
      <c r="E869" t="s">
        <v>43</v>
      </c>
      <c r="F869">
        <v>3</v>
      </c>
      <c r="G869">
        <v>65000</v>
      </c>
      <c r="H869">
        <v>156000</v>
      </c>
      <c r="I869">
        <v>0.2</v>
      </c>
      <c r="J869">
        <v>4820.1499999999996</v>
      </c>
      <c r="K869" t="s">
        <v>22</v>
      </c>
      <c r="L869" t="s">
        <v>17</v>
      </c>
    </row>
    <row r="870" spans="1:12" x14ac:dyDescent="0.3">
      <c r="A870" t="s">
        <v>914</v>
      </c>
      <c r="B870" s="1">
        <v>45822</v>
      </c>
      <c r="C870" t="s">
        <v>56</v>
      </c>
      <c r="D870" t="s">
        <v>30</v>
      </c>
      <c r="E870" t="s">
        <v>31</v>
      </c>
      <c r="F870">
        <v>10</v>
      </c>
      <c r="G870">
        <v>120</v>
      </c>
      <c r="H870">
        <v>1020</v>
      </c>
      <c r="I870">
        <v>0.15</v>
      </c>
      <c r="J870">
        <v>120.12</v>
      </c>
      <c r="K870" t="s">
        <v>22</v>
      </c>
      <c r="L870" t="s">
        <v>32</v>
      </c>
    </row>
    <row r="871" spans="1:12" x14ac:dyDescent="0.3">
      <c r="A871" t="s">
        <v>915</v>
      </c>
      <c r="B871" s="1">
        <v>45794</v>
      </c>
      <c r="C871" t="s">
        <v>28</v>
      </c>
      <c r="D871" t="s">
        <v>20</v>
      </c>
      <c r="E871" t="s">
        <v>84</v>
      </c>
      <c r="F871">
        <v>3</v>
      </c>
      <c r="G871">
        <v>3200</v>
      </c>
      <c r="H871">
        <v>7680</v>
      </c>
      <c r="I871">
        <v>0.2</v>
      </c>
      <c r="J871">
        <v>189.6</v>
      </c>
      <c r="K871" t="s">
        <v>22</v>
      </c>
      <c r="L871" t="s">
        <v>23</v>
      </c>
    </row>
    <row r="872" spans="1:12" x14ac:dyDescent="0.3">
      <c r="A872" t="s">
        <v>916</v>
      </c>
      <c r="B872" s="1">
        <v>45922</v>
      </c>
      <c r="C872" t="s">
        <v>19</v>
      </c>
      <c r="D872" t="s">
        <v>20</v>
      </c>
      <c r="E872" t="s">
        <v>39</v>
      </c>
      <c r="F872">
        <v>4</v>
      </c>
      <c r="G872">
        <v>2800</v>
      </c>
      <c r="H872">
        <v>11200</v>
      </c>
      <c r="I872">
        <v>0</v>
      </c>
      <c r="J872">
        <v>3860.94</v>
      </c>
      <c r="K872" t="s">
        <v>26</v>
      </c>
      <c r="L872" t="s">
        <v>17</v>
      </c>
    </row>
    <row r="873" spans="1:12" x14ac:dyDescent="0.3">
      <c r="A873" t="s">
        <v>917</v>
      </c>
      <c r="B873" s="1">
        <v>45949</v>
      </c>
      <c r="C873" t="s">
        <v>28</v>
      </c>
      <c r="D873" t="s">
        <v>20</v>
      </c>
      <c r="E873" t="s">
        <v>97</v>
      </c>
      <c r="F873">
        <v>6</v>
      </c>
      <c r="G873">
        <v>400</v>
      </c>
      <c r="H873">
        <v>2280</v>
      </c>
      <c r="I873">
        <v>0.05</v>
      </c>
      <c r="J873">
        <v>386.23</v>
      </c>
      <c r="K873" t="s">
        <v>26</v>
      </c>
      <c r="L873" t="s">
        <v>17</v>
      </c>
    </row>
    <row r="874" spans="1:12" x14ac:dyDescent="0.3">
      <c r="A874" t="s">
        <v>918</v>
      </c>
      <c r="B874" s="1">
        <v>45853</v>
      </c>
      <c r="C874" t="s">
        <v>19</v>
      </c>
      <c r="D874" t="s">
        <v>30</v>
      </c>
      <c r="E874" t="s">
        <v>45</v>
      </c>
      <c r="F874">
        <v>9</v>
      </c>
      <c r="G874">
        <v>180</v>
      </c>
      <c r="H874">
        <v>1539</v>
      </c>
      <c r="I874">
        <v>0.05</v>
      </c>
      <c r="J874">
        <v>551.29999999999995</v>
      </c>
      <c r="K874" t="s">
        <v>22</v>
      </c>
      <c r="L874" t="s">
        <v>23</v>
      </c>
    </row>
    <row r="875" spans="1:12" x14ac:dyDescent="0.3">
      <c r="A875" t="s">
        <v>919</v>
      </c>
      <c r="B875" s="1">
        <v>45920</v>
      </c>
      <c r="C875" t="s">
        <v>56</v>
      </c>
      <c r="D875" t="s">
        <v>36</v>
      </c>
      <c r="E875" t="s">
        <v>37</v>
      </c>
      <c r="F875">
        <v>1</v>
      </c>
      <c r="G875">
        <v>1800</v>
      </c>
      <c r="H875">
        <v>1620</v>
      </c>
      <c r="I875">
        <v>0.1</v>
      </c>
      <c r="J875">
        <v>-414.23</v>
      </c>
      <c r="K875" t="s">
        <v>16</v>
      </c>
      <c r="L875" t="s">
        <v>17</v>
      </c>
    </row>
    <row r="876" spans="1:12" x14ac:dyDescent="0.3">
      <c r="A876" t="s">
        <v>920</v>
      </c>
      <c r="B876" s="1">
        <v>45662</v>
      </c>
      <c r="C876" t="s">
        <v>13</v>
      </c>
      <c r="D876" t="s">
        <v>36</v>
      </c>
      <c r="E876" t="s">
        <v>37</v>
      </c>
      <c r="F876">
        <v>3</v>
      </c>
      <c r="G876">
        <v>12000</v>
      </c>
      <c r="H876">
        <v>28800</v>
      </c>
      <c r="I876">
        <v>0.2</v>
      </c>
      <c r="J876">
        <v>6489.69</v>
      </c>
      <c r="K876" t="s">
        <v>16</v>
      </c>
      <c r="L876" t="s">
        <v>23</v>
      </c>
    </row>
    <row r="877" spans="1:12" x14ac:dyDescent="0.3">
      <c r="A877" t="s">
        <v>921</v>
      </c>
      <c r="B877" s="1">
        <v>45695</v>
      </c>
      <c r="C877" t="s">
        <v>56</v>
      </c>
      <c r="D877" t="s">
        <v>20</v>
      </c>
      <c r="E877" t="s">
        <v>97</v>
      </c>
      <c r="F877">
        <v>3</v>
      </c>
      <c r="G877">
        <v>400</v>
      </c>
      <c r="H877">
        <v>1020</v>
      </c>
      <c r="I877">
        <v>0.15</v>
      </c>
      <c r="J877">
        <v>223.79</v>
      </c>
      <c r="K877" t="s">
        <v>16</v>
      </c>
      <c r="L877" t="s">
        <v>23</v>
      </c>
    </row>
    <row r="878" spans="1:12" x14ac:dyDescent="0.3">
      <c r="A878" t="s">
        <v>922</v>
      </c>
      <c r="B878" s="1">
        <v>45686</v>
      </c>
      <c r="C878" t="s">
        <v>56</v>
      </c>
      <c r="D878" t="s">
        <v>14</v>
      </c>
      <c r="E878" t="s">
        <v>51</v>
      </c>
      <c r="F878">
        <v>4</v>
      </c>
      <c r="G878">
        <v>2500</v>
      </c>
      <c r="H878">
        <v>10000</v>
      </c>
      <c r="I878">
        <v>0</v>
      </c>
      <c r="J878">
        <v>3719.72</v>
      </c>
      <c r="K878" t="s">
        <v>16</v>
      </c>
      <c r="L878" t="s">
        <v>17</v>
      </c>
    </row>
    <row r="879" spans="1:12" x14ac:dyDescent="0.3">
      <c r="A879" t="s">
        <v>923</v>
      </c>
      <c r="B879" s="1">
        <v>45789</v>
      </c>
      <c r="C879" t="s">
        <v>90</v>
      </c>
      <c r="D879" t="s">
        <v>30</v>
      </c>
      <c r="E879" t="s">
        <v>82</v>
      </c>
      <c r="F879">
        <v>8</v>
      </c>
      <c r="G879">
        <v>250</v>
      </c>
      <c r="H879">
        <v>1900</v>
      </c>
      <c r="I879">
        <v>0.05</v>
      </c>
      <c r="J879">
        <v>467.83</v>
      </c>
      <c r="K879" t="s">
        <v>26</v>
      </c>
      <c r="L879" t="s">
        <v>17</v>
      </c>
    </row>
    <row r="880" spans="1:12" x14ac:dyDescent="0.3">
      <c r="A880" t="s">
        <v>924</v>
      </c>
      <c r="B880" s="1">
        <v>45772</v>
      </c>
      <c r="C880" t="s">
        <v>35</v>
      </c>
      <c r="D880" t="s">
        <v>14</v>
      </c>
      <c r="E880" t="s">
        <v>43</v>
      </c>
      <c r="F880">
        <v>2</v>
      </c>
      <c r="G880">
        <v>65000</v>
      </c>
      <c r="H880">
        <v>123500</v>
      </c>
      <c r="I880">
        <v>0.05</v>
      </c>
      <c r="J880">
        <v>26731.73</v>
      </c>
      <c r="K880" t="s">
        <v>22</v>
      </c>
      <c r="L880" t="s">
        <v>23</v>
      </c>
    </row>
    <row r="881" spans="1:12" x14ac:dyDescent="0.3">
      <c r="A881" t="s">
        <v>925</v>
      </c>
      <c r="B881" s="1">
        <v>45820</v>
      </c>
      <c r="C881" t="s">
        <v>13</v>
      </c>
      <c r="D881" t="s">
        <v>36</v>
      </c>
      <c r="E881" t="s">
        <v>91</v>
      </c>
      <c r="F881">
        <v>7</v>
      </c>
      <c r="G881">
        <v>8500</v>
      </c>
      <c r="H881">
        <v>53550</v>
      </c>
      <c r="I881">
        <v>0.1</v>
      </c>
      <c r="J881">
        <v>19345</v>
      </c>
      <c r="K881" t="s">
        <v>26</v>
      </c>
      <c r="L881" t="s">
        <v>23</v>
      </c>
    </row>
    <row r="882" spans="1:12" x14ac:dyDescent="0.3">
      <c r="A882" t="s">
        <v>926</v>
      </c>
      <c r="B882" s="1">
        <v>45815</v>
      </c>
      <c r="C882" t="s">
        <v>35</v>
      </c>
      <c r="D882" t="s">
        <v>30</v>
      </c>
      <c r="E882" t="s">
        <v>82</v>
      </c>
      <c r="F882">
        <v>8</v>
      </c>
      <c r="G882">
        <v>250</v>
      </c>
      <c r="H882">
        <v>2000</v>
      </c>
      <c r="I882">
        <v>0</v>
      </c>
      <c r="J882">
        <v>713.69</v>
      </c>
      <c r="K882" t="s">
        <v>26</v>
      </c>
      <c r="L882" t="s">
        <v>32</v>
      </c>
    </row>
    <row r="883" spans="1:12" x14ac:dyDescent="0.3">
      <c r="A883" t="s">
        <v>927</v>
      </c>
      <c r="B883" s="1">
        <v>45824</v>
      </c>
      <c r="C883" t="s">
        <v>35</v>
      </c>
      <c r="D883" t="s">
        <v>36</v>
      </c>
      <c r="E883" t="s">
        <v>37</v>
      </c>
      <c r="F883">
        <v>8</v>
      </c>
      <c r="G883">
        <v>12000</v>
      </c>
      <c r="H883">
        <v>96000</v>
      </c>
      <c r="I883">
        <v>0</v>
      </c>
      <c r="J883">
        <v>32517.14</v>
      </c>
      <c r="K883" t="s">
        <v>16</v>
      </c>
      <c r="L883" t="s">
        <v>17</v>
      </c>
    </row>
    <row r="884" spans="1:12" x14ac:dyDescent="0.3">
      <c r="A884" t="s">
        <v>928</v>
      </c>
      <c r="B884" s="1">
        <v>45841</v>
      </c>
      <c r="C884" t="s">
        <v>35</v>
      </c>
      <c r="D884" t="s">
        <v>30</v>
      </c>
      <c r="E884" t="s">
        <v>82</v>
      </c>
      <c r="F884">
        <v>2</v>
      </c>
      <c r="G884">
        <v>250</v>
      </c>
      <c r="H884">
        <v>400</v>
      </c>
      <c r="I884">
        <v>0.2</v>
      </c>
      <c r="J884">
        <v>56.19</v>
      </c>
      <c r="K884" t="s">
        <v>22</v>
      </c>
      <c r="L884" t="s">
        <v>23</v>
      </c>
    </row>
    <row r="885" spans="1:12" x14ac:dyDescent="0.3">
      <c r="A885" t="s">
        <v>929</v>
      </c>
      <c r="B885" s="1">
        <v>45942</v>
      </c>
      <c r="C885" t="s">
        <v>28</v>
      </c>
      <c r="D885" t="s">
        <v>20</v>
      </c>
      <c r="E885" t="s">
        <v>84</v>
      </c>
      <c r="F885">
        <v>2</v>
      </c>
      <c r="G885">
        <v>3200</v>
      </c>
      <c r="H885">
        <v>5120</v>
      </c>
      <c r="I885">
        <v>0.2</v>
      </c>
      <c r="J885">
        <v>1111.46</v>
      </c>
      <c r="K885" t="s">
        <v>26</v>
      </c>
      <c r="L885" t="s">
        <v>32</v>
      </c>
    </row>
    <row r="886" spans="1:12" x14ac:dyDescent="0.3">
      <c r="A886" t="s">
        <v>930</v>
      </c>
      <c r="B886" s="1">
        <v>45716</v>
      </c>
      <c r="C886" t="s">
        <v>13</v>
      </c>
      <c r="D886" t="s">
        <v>14</v>
      </c>
      <c r="E886" t="s">
        <v>25</v>
      </c>
      <c r="F886">
        <v>10</v>
      </c>
      <c r="G886">
        <v>3200</v>
      </c>
      <c r="H886">
        <v>32000</v>
      </c>
      <c r="I886">
        <v>0</v>
      </c>
      <c r="J886">
        <v>12696.92</v>
      </c>
      <c r="K886" t="s">
        <v>16</v>
      </c>
      <c r="L886" t="s">
        <v>32</v>
      </c>
    </row>
    <row r="887" spans="1:12" x14ac:dyDescent="0.3">
      <c r="A887" t="s">
        <v>931</v>
      </c>
      <c r="B887" s="1">
        <v>45987</v>
      </c>
      <c r="C887" t="s">
        <v>19</v>
      </c>
      <c r="D887" t="s">
        <v>30</v>
      </c>
      <c r="E887" t="s">
        <v>41</v>
      </c>
      <c r="F887">
        <v>8</v>
      </c>
      <c r="G887">
        <v>600</v>
      </c>
      <c r="H887">
        <v>4800</v>
      </c>
      <c r="I887">
        <v>0</v>
      </c>
      <c r="J887">
        <v>1488.75</v>
      </c>
      <c r="K887" t="s">
        <v>22</v>
      </c>
      <c r="L887" t="s">
        <v>17</v>
      </c>
    </row>
    <row r="888" spans="1:12" x14ac:dyDescent="0.3">
      <c r="A888" t="s">
        <v>932</v>
      </c>
      <c r="B888" s="1">
        <v>45912</v>
      </c>
      <c r="C888" t="s">
        <v>28</v>
      </c>
      <c r="D888" t="s">
        <v>30</v>
      </c>
      <c r="E888" t="s">
        <v>45</v>
      </c>
      <c r="F888">
        <v>8</v>
      </c>
      <c r="G888">
        <v>180</v>
      </c>
      <c r="H888">
        <v>1296</v>
      </c>
      <c r="I888">
        <v>0.1</v>
      </c>
      <c r="J888">
        <v>195.08</v>
      </c>
      <c r="K888" t="s">
        <v>22</v>
      </c>
      <c r="L888" t="s">
        <v>32</v>
      </c>
    </row>
    <row r="889" spans="1:12" x14ac:dyDescent="0.3">
      <c r="A889" t="s">
        <v>933</v>
      </c>
      <c r="B889" s="1">
        <v>45993</v>
      </c>
      <c r="C889" t="s">
        <v>13</v>
      </c>
      <c r="D889" t="s">
        <v>36</v>
      </c>
      <c r="E889" t="s">
        <v>54</v>
      </c>
      <c r="F889">
        <v>5</v>
      </c>
      <c r="G889">
        <v>7000</v>
      </c>
      <c r="H889">
        <v>35000</v>
      </c>
      <c r="I889">
        <v>0</v>
      </c>
      <c r="J889">
        <v>11437.32</v>
      </c>
      <c r="K889" t="s">
        <v>16</v>
      </c>
      <c r="L889" t="s">
        <v>32</v>
      </c>
    </row>
    <row r="890" spans="1:12" x14ac:dyDescent="0.3">
      <c r="A890" t="s">
        <v>934</v>
      </c>
      <c r="B890" s="1">
        <v>45889</v>
      </c>
      <c r="C890" t="s">
        <v>13</v>
      </c>
      <c r="D890" t="s">
        <v>30</v>
      </c>
      <c r="E890" t="s">
        <v>31</v>
      </c>
      <c r="F890">
        <v>4</v>
      </c>
      <c r="G890">
        <v>120</v>
      </c>
      <c r="H890">
        <v>456</v>
      </c>
      <c r="I890">
        <v>0.05</v>
      </c>
      <c r="J890">
        <v>174.69</v>
      </c>
      <c r="K890" t="s">
        <v>22</v>
      </c>
      <c r="L890" t="s">
        <v>32</v>
      </c>
    </row>
    <row r="891" spans="1:12" x14ac:dyDescent="0.3">
      <c r="A891" t="s">
        <v>935</v>
      </c>
      <c r="B891" s="1">
        <v>45703</v>
      </c>
      <c r="C891" t="s">
        <v>56</v>
      </c>
      <c r="D891" t="s">
        <v>14</v>
      </c>
      <c r="E891" t="s">
        <v>15</v>
      </c>
      <c r="F891">
        <v>8</v>
      </c>
      <c r="G891">
        <v>1200</v>
      </c>
      <c r="H891">
        <v>9600</v>
      </c>
      <c r="I891">
        <v>0</v>
      </c>
      <c r="J891">
        <v>2676.46</v>
      </c>
      <c r="K891" t="s">
        <v>16</v>
      </c>
      <c r="L891" t="s">
        <v>23</v>
      </c>
    </row>
    <row r="892" spans="1:12" x14ac:dyDescent="0.3">
      <c r="A892" t="s">
        <v>936</v>
      </c>
      <c r="B892" s="1">
        <v>45738</v>
      </c>
      <c r="C892" t="s">
        <v>35</v>
      </c>
      <c r="D892" t="s">
        <v>20</v>
      </c>
      <c r="E892" t="s">
        <v>97</v>
      </c>
      <c r="F892">
        <v>5</v>
      </c>
      <c r="G892">
        <v>400</v>
      </c>
      <c r="H892">
        <v>1800</v>
      </c>
      <c r="I892">
        <v>0.1</v>
      </c>
      <c r="J892">
        <v>273.5</v>
      </c>
      <c r="K892" t="s">
        <v>26</v>
      </c>
      <c r="L892" t="s">
        <v>17</v>
      </c>
    </row>
    <row r="893" spans="1:12" x14ac:dyDescent="0.3">
      <c r="A893" t="s">
        <v>937</v>
      </c>
      <c r="B893" s="1">
        <v>45981</v>
      </c>
      <c r="C893" t="s">
        <v>13</v>
      </c>
      <c r="D893" t="s">
        <v>30</v>
      </c>
      <c r="E893" t="s">
        <v>82</v>
      </c>
      <c r="F893">
        <v>2</v>
      </c>
      <c r="G893">
        <v>250</v>
      </c>
      <c r="H893">
        <v>450</v>
      </c>
      <c r="I893">
        <v>0.1</v>
      </c>
      <c r="J893">
        <v>-48.38</v>
      </c>
      <c r="K893" t="s">
        <v>26</v>
      </c>
      <c r="L893" t="s">
        <v>23</v>
      </c>
    </row>
    <row r="894" spans="1:12" x14ac:dyDescent="0.3">
      <c r="A894" t="s">
        <v>938</v>
      </c>
      <c r="B894" s="1">
        <v>45729</v>
      </c>
      <c r="C894" t="s">
        <v>13</v>
      </c>
      <c r="D894" t="s">
        <v>30</v>
      </c>
      <c r="E894" t="s">
        <v>31</v>
      </c>
      <c r="F894">
        <v>7</v>
      </c>
      <c r="G894">
        <v>120</v>
      </c>
      <c r="H894">
        <v>714</v>
      </c>
      <c r="I894">
        <v>0.15</v>
      </c>
      <c r="J894">
        <v>227.85</v>
      </c>
      <c r="K894" t="s">
        <v>16</v>
      </c>
      <c r="L894" t="s">
        <v>32</v>
      </c>
    </row>
    <row r="895" spans="1:12" x14ac:dyDescent="0.3">
      <c r="A895" t="s">
        <v>939</v>
      </c>
      <c r="B895" s="1">
        <v>45971</v>
      </c>
      <c r="C895" t="s">
        <v>13</v>
      </c>
      <c r="D895" t="s">
        <v>20</v>
      </c>
      <c r="E895" t="s">
        <v>39</v>
      </c>
      <c r="F895">
        <v>10</v>
      </c>
      <c r="G895">
        <v>2800</v>
      </c>
      <c r="H895">
        <v>28000</v>
      </c>
      <c r="I895">
        <v>0</v>
      </c>
      <c r="J895">
        <v>5666.81</v>
      </c>
      <c r="K895" t="s">
        <v>16</v>
      </c>
      <c r="L895" t="s">
        <v>17</v>
      </c>
    </row>
    <row r="896" spans="1:12" x14ac:dyDescent="0.3">
      <c r="A896" t="s">
        <v>940</v>
      </c>
      <c r="B896" s="1">
        <v>45809</v>
      </c>
      <c r="C896" t="s">
        <v>13</v>
      </c>
      <c r="D896" t="s">
        <v>20</v>
      </c>
      <c r="E896" t="s">
        <v>39</v>
      </c>
      <c r="F896">
        <v>7</v>
      </c>
      <c r="G896">
        <v>2800</v>
      </c>
      <c r="H896">
        <v>17640</v>
      </c>
      <c r="I896">
        <v>0.1</v>
      </c>
      <c r="J896">
        <v>3593.45</v>
      </c>
      <c r="K896" t="s">
        <v>16</v>
      </c>
      <c r="L896" t="s">
        <v>17</v>
      </c>
    </row>
    <row r="897" spans="1:12" x14ac:dyDescent="0.3">
      <c r="A897" t="s">
        <v>941</v>
      </c>
      <c r="B897" s="1">
        <v>45756</v>
      </c>
      <c r="C897" t="s">
        <v>56</v>
      </c>
      <c r="D897" t="s">
        <v>30</v>
      </c>
      <c r="E897" t="s">
        <v>47</v>
      </c>
      <c r="F897">
        <v>5</v>
      </c>
      <c r="G897">
        <v>450</v>
      </c>
      <c r="H897">
        <v>1800</v>
      </c>
      <c r="I897">
        <v>0.2</v>
      </c>
      <c r="J897">
        <v>551.70000000000005</v>
      </c>
      <c r="K897" t="s">
        <v>22</v>
      </c>
      <c r="L897" t="s">
        <v>23</v>
      </c>
    </row>
    <row r="898" spans="1:12" x14ac:dyDescent="0.3">
      <c r="A898" t="s">
        <v>942</v>
      </c>
      <c r="B898" s="1">
        <v>45743</v>
      </c>
      <c r="C898" t="s">
        <v>13</v>
      </c>
      <c r="D898" t="s">
        <v>36</v>
      </c>
      <c r="E898" t="s">
        <v>37</v>
      </c>
      <c r="F898">
        <v>7</v>
      </c>
      <c r="G898">
        <v>1800</v>
      </c>
      <c r="H898">
        <v>11970</v>
      </c>
      <c r="I898">
        <v>0.05</v>
      </c>
      <c r="J898">
        <v>-600.15</v>
      </c>
      <c r="K898" t="s">
        <v>26</v>
      </c>
      <c r="L898" t="s">
        <v>23</v>
      </c>
    </row>
    <row r="899" spans="1:12" x14ac:dyDescent="0.3">
      <c r="A899" t="s">
        <v>943</v>
      </c>
      <c r="B899" s="1">
        <v>45835</v>
      </c>
      <c r="C899" t="s">
        <v>56</v>
      </c>
      <c r="D899" t="s">
        <v>14</v>
      </c>
      <c r="E899" t="s">
        <v>51</v>
      </c>
      <c r="F899">
        <v>5</v>
      </c>
      <c r="G899">
        <v>2500</v>
      </c>
      <c r="H899">
        <v>10625</v>
      </c>
      <c r="I899">
        <v>0.15</v>
      </c>
      <c r="J899">
        <v>1306.6300000000001</v>
      </c>
      <c r="K899" t="s">
        <v>22</v>
      </c>
      <c r="L899" t="s">
        <v>17</v>
      </c>
    </row>
    <row r="900" spans="1:12" x14ac:dyDescent="0.3">
      <c r="A900" t="s">
        <v>944</v>
      </c>
      <c r="B900" s="1">
        <v>45740</v>
      </c>
      <c r="C900" t="s">
        <v>28</v>
      </c>
      <c r="D900" t="s">
        <v>14</v>
      </c>
      <c r="E900" t="s">
        <v>43</v>
      </c>
      <c r="F900">
        <v>1</v>
      </c>
      <c r="G900">
        <v>65000</v>
      </c>
      <c r="H900">
        <v>55250</v>
      </c>
      <c r="I900">
        <v>0.15</v>
      </c>
      <c r="J900">
        <v>2134.37</v>
      </c>
      <c r="K900" t="s">
        <v>26</v>
      </c>
      <c r="L900" t="s">
        <v>17</v>
      </c>
    </row>
    <row r="901" spans="1:12" x14ac:dyDescent="0.3">
      <c r="A901" t="s">
        <v>945</v>
      </c>
      <c r="B901" s="1">
        <v>45891</v>
      </c>
      <c r="C901" t="s">
        <v>19</v>
      </c>
      <c r="D901" t="s">
        <v>36</v>
      </c>
      <c r="E901" t="s">
        <v>37</v>
      </c>
      <c r="F901">
        <v>2</v>
      </c>
      <c r="G901">
        <v>12000</v>
      </c>
      <c r="H901">
        <v>24000</v>
      </c>
      <c r="I901">
        <v>0</v>
      </c>
      <c r="J901">
        <v>7297.44</v>
      </c>
      <c r="K901" t="s">
        <v>26</v>
      </c>
      <c r="L901" t="s">
        <v>32</v>
      </c>
    </row>
    <row r="902" spans="1:12" x14ac:dyDescent="0.3">
      <c r="A902" t="s">
        <v>946</v>
      </c>
      <c r="B902" s="1">
        <v>45896</v>
      </c>
      <c r="C902" t="s">
        <v>28</v>
      </c>
      <c r="D902" t="s">
        <v>36</v>
      </c>
      <c r="E902" t="s">
        <v>54</v>
      </c>
      <c r="F902">
        <v>2</v>
      </c>
      <c r="G902">
        <v>7000</v>
      </c>
      <c r="H902">
        <v>13300</v>
      </c>
      <c r="I902">
        <v>0.05</v>
      </c>
      <c r="J902">
        <v>3758.64</v>
      </c>
      <c r="K902" t="s">
        <v>22</v>
      </c>
      <c r="L902" t="s">
        <v>32</v>
      </c>
    </row>
    <row r="903" spans="1:12" x14ac:dyDescent="0.3">
      <c r="A903" t="s">
        <v>947</v>
      </c>
      <c r="B903" s="1">
        <v>45779</v>
      </c>
      <c r="C903" t="s">
        <v>35</v>
      </c>
      <c r="D903" t="s">
        <v>20</v>
      </c>
      <c r="E903" t="s">
        <v>97</v>
      </c>
      <c r="F903">
        <v>6</v>
      </c>
      <c r="G903">
        <v>400</v>
      </c>
      <c r="H903">
        <v>1920</v>
      </c>
      <c r="I903">
        <v>0.2</v>
      </c>
      <c r="J903">
        <v>578.13</v>
      </c>
      <c r="K903" t="s">
        <v>16</v>
      </c>
      <c r="L903" t="s">
        <v>32</v>
      </c>
    </row>
    <row r="904" spans="1:12" x14ac:dyDescent="0.3">
      <c r="A904" t="s">
        <v>948</v>
      </c>
      <c r="B904" s="1">
        <v>45956</v>
      </c>
      <c r="C904" t="s">
        <v>13</v>
      </c>
      <c r="D904" t="s">
        <v>30</v>
      </c>
      <c r="E904" t="s">
        <v>45</v>
      </c>
      <c r="F904">
        <v>3</v>
      </c>
      <c r="G904">
        <v>180</v>
      </c>
      <c r="H904">
        <v>486</v>
      </c>
      <c r="I904">
        <v>0.1</v>
      </c>
      <c r="J904">
        <v>107.54</v>
      </c>
      <c r="K904" t="s">
        <v>22</v>
      </c>
      <c r="L904" t="s">
        <v>17</v>
      </c>
    </row>
    <row r="905" spans="1:12" x14ac:dyDescent="0.3">
      <c r="A905" t="s">
        <v>949</v>
      </c>
      <c r="B905" s="1">
        <v>45743</v>
      </c>
      <c r="C905" t="s">
        <v>56</v>
      </c>
      <c r="D905" t="s">
        <v>30</v>
      </c>
      <c r="E905" t="s">
        <v>45</v>
      </c>
      <c r="F905">
        <v>8</v>
      </c>
      <c r="G905">
        <v>180</v>
      </c>
      <c r="H905">
        <v>1440</v>
      </c>
      <c r="I905">
        <v>0</v>
      </c>
      <c r="J905">
        <v>448.85</v>
      </c>
      <c r="K905" t="s">
        <v>16</v>
      </c>
      <c r="L905" t="s">
        <v>23</v>
      </c>
    </row>
    <row r="906" spans="1:12" x14ac:dyDescent="0.3">
      <c r="A906" t="s">
        <v>950</v>
      </c>
      <c r="B906" s="1">
        <v>45886</v>
      </c>
      <c r="C906" t="s">
        <v>19</v>
      </c>
      <c r="D906" t="s">
        <v>20</v>
      </c>
      <c r="E906" t="s">
        <v>84</v>
      </c>
      <c r="F906">
        <v>10</v>
      </c>
      <c r="G906">
        <v>3200</v>
      </c>
      <c r="H906">
        <v>27200</v>
      </c>
      <c r="I906">
        <v>0.15</v>
      </c>
      <c r="J906">
        <v>1971.41</v>
      </c>
      <c r="K906" t="s">
        <v>22</v>
      </c>
      <c r="L906" t="s">
        <v>23</v>
      </c>
    </row>
    <row r="907" spans="1:12" x14ac:dyDescent="0.3">
      <c r="A907" t="s">
        <v>951</v>
      </c>
      <c r="B907" s="1">
        <v>45732</v>
      </c>
      <c r="C907" t="s">
        <v>28</v>
      </c>
      <c r="D907" t="s">
        <v>36</v>
      </c>
      <c r="E907" t="s">
        <v>91</v>
      </c>
      <c r="F907">
        <v>5</v>
      </c>
      <c r="G907">
        <v>8500</v>
      </c>
      <c r="H907">
        <v>34000</v>
      </c>
      <c r="I907">
        <v>0.2</v>
      </c>
      <c r="J907">
        <v>1758.93</v>
      </c>
      <c r="K907" t="s">
        <v>22</v>
      </c>
      <c r="L907" t="s">
        <v>32</v>
      </c>
    </row>
    <row r="908" spans="1:12" x14ac:dyDescent="0.3">
      <c r="A908" t="s">
        <v>952</v>
      </c>
      <c r="B908" s="1">
        <v>45826</v>
      </c>
      <c r="C908" t="s">
        <v>13</v>
      </c>
      <c r="D908" t="s">
        <v>14</v>
      </c>
      <c r="E908" t="s">
        <v>15</v>
      </c>
      <c r="F908">
        <v>10</v>
      </c>
      <c r="G908">
        <v>1200</v>
      </c>
      <c r="H908">
        <v>12000</v>
      </c>
      <c r="I908">
        <v>0</v>
      </c>
      <c r="J908">
        <v>5127.78</v>
      </c>
      <c r="K908" t="s">
        <v>22</v>
      </c>
      <c r="L908" t="s">
        <v>17</v>
      </c>
    </row>
    <row r="909" spans="1:12" x14ac:dyDescent="0.3">
      <c r="A909" t="s">
        <v>953</v>
      </c>
      <c r="B909" s="1">
        <v>45911</v>
      </c>
      <c r="C909" t="s">
        <v>19</v>
      </c>
      <c r="D909" t="s">
        <v>30</v>
      </c>
      <c r="E909" t="s">
        <v>82</v>
      </c>
      <c r="F909">
        <v>1</v>
      </c>
      <c r="G909">
        <v>250</v>
      </c>
      <c r="H909">
        <v>250</v>
      </c>
      <c r="I909">
        <v>0</v>
      </c>
      <c r="J909">
        <v>98.21</v>
      </c>
      <c r="K909" t="s">
        <v>22</v>
      </c>
      <c r="L909" t="s">
        <v>32</v>
      </c>
    </row>
    <row r="910" spans="1:12" x14ac:dyDescent="0.3">
      <c r="A910" t="s">
        <v>954</v>
      </c>
      <c r="B910" s="1">
        <v>45990</v>
      </c>
      <c r="C910" t="s">
        <v>19</v>
      </c>
      <c r="D910" t="s">
        <v>14</v>
      </c>
      <c r="E910" t="s">
        <v>25</v>
      </c>
      <c r="F910">
        <v>3</v>
      </c>
      <c r="G910">
        <v>3200</v>
      </c>
      <c r="H910">
        <v>8160</v>
      </c>
      <c r="I910">
        <v>0.15</v>
      </c>
      <c r="J910">
        <v>2088.1999999999998</v>
      </c>
      <c r="K910" t="s">
        <v>22</v>
      </c>
      <c r="L910" t="s">
        <v>17</v>
      </c>
    </row>
    <row r="911" spans="1:12" x14ac:dyDescent="0.3">
      <c r="A911" t="s">
        <v>955</v>
      </c>
      <c r="B911" s="1">
        <v>45911</v>
      </c>
      <c r="C911" t="s">
        <v>28</v>
      </c>
      <c r="D911" t="s">
        <v>20</v>
      </c>
      <c r="E911" t="s">
        <v>84</v>
      </c>
      <c r="F911">
        <v>3</v>
      </c>
      <c r="G911">
        <v>3200</v>
      </c>
      <c r="H911">
        <v>8640</v>
      </c>
      <c r="I911">
        <v>0.1</v>
      </c>
      <c r="J911">
        <v>3225.91</v>
      </c>
      <c r="K911" t="s">
        <v>22</v>
      </c>
      <c r="L911" t="s">
        <v>23</v>
      </c>
    </row>
    <row r="912" spans="1:12" x14ac:dyDescent="0.3">
      <c r="A912" t="s">
        <v>956</v>
      </c>
      <c r="B912" s="1">
        <v>45746</v>
      </c>
      <c r="C912" t="s">
        <v>56</v>
      </c>
      <c r="D912" t="s">
        <v>20</v>
      </c>
      <c r="E912" t="s">
        <v>39</v>
      </c>
      <c r="F912">
        <v>10</v>
      </c>
      <c r="G912">
        <v>2800</v>
      </c>
      <c r="H912">
        <v>26600</v>
      </c>
      <c r="I912">
        <v>0.05</v>
      </c>
      <c r="J912">
        <v>-3487.21</v>
      </c>
      <c r="K912" t="s">
        <v>22</v>
      </c>
      <c r="L912" t="s">
        <v>17</v>
      </c>
    </row>
    <row r="913" spans="1:12" x14ac:dyDescent="0.3">
      <c r="A913" t="s">
        <v>957</v>
      </c>
      <c r="B913" s="1">
        <v>45984</v>
      </c>
      <c r="C913" t="s">
        <v>28</v>
      </c>
      <c r="D913" t="s">
        <v>14</v>
      </c>
      <c r="E913" t="s">
        <v>25</v>
      </c>
      <c r="F913">
        <v>9</v>
      </c>
      <c r="G913">
        <v>3200</v>
      </c>
      <c r="H913">
        <v>24480</v>
      </c>
      <c r="I913">
        <v>0.15</v>
      </c>
      <c r="J913">
        <v>1795.49</v>
      </c>
      <c r="K913" t="s">
        <v>22</v>
      </c>
      <c r="L913" t="s">
        <v>23</v>
      </c>
    </row>
    <row r="914" spans="1:12" x14ac:dyDescent="0.3">
      <c r="A914" t="s">
        <v>958</v>
      </c>
      <c r="B914" s="1">
        <v>45964</v>
      </c>
      <c r="C914" t="s">
        <v>35</v>
      </c>
      <c r="D914" t="s">
        <v>30</v>
      </c>
      <c r="E914" t="s">
        <v>82</v>
      </c>
      <c r="F914">
        <v>2</v>
      </c>
      <c r="G914">
        <v>250</v>
      </c>
      <c r="H914">
        <v>400</v>
      </c>
      <c r="I914">
        <v>0.2</v>
      </c>
      <c r="J914">
        <v>23.78</v>
      </c>
      <c r="K914" t="s">
        <v>16</v>
      </c>
      <c r="L914" t="s">
        <v>23</v>
      </c>
    </row>
    <row r="915" spans="1:12" x14ac:dyDescent="0.3">
      <c r="A915" t="s">
        <v>959</v>
      </c>
      <c r="B915" s="1">
        <v>45824</v>
      </c>
      <c r="C915" t="s">
        <v>28</v>
      </c>
      <c r="D915" t="s">
        <v>36</v>
      </c>
      <c r="E915" t="s">
        <v>54</v>
      </c>
      <c r="F915">
        <v>10</v>
      </c>
      <c r="G915">
        <v>7000</v>
      </c>
      <c r="H915">
        <v>66500</v>
      </c>
      <c r="I915">
        <v>0.05</v>
      </c>
      <c r="J915">
        <v>22705.83</v>
      </c>
      <c r="K915" t="s">
        <v>26</v>
      </c>
      <c r="L915" t="s">
        <v>23</v>
      </c>
    </row>
    <row r="916" spans="1:12" x14ac:dyDescent="0.3">
      <c r="A916" t="s">
        <v>960</v>
      </c>
      <c r="B916" s="1">
        <v>45916</v>
      </c>
      <c r="C916" t="s">
        <v>28</v>
      </c>
      <c r="D916" t="s">
        <v>14</v>
      </c>
      <c r="E916" t="s">
        <v>65</v>
      </c>
      <c r="F916">
        <v>1</v>
      </c>
      <c r="G916">
        <v>700</v>
      </c>
      <c r="H916">
        <v>595</v>
      </c>
      <c r="I916">
        <v>0.15</v>
      </c>
      <c r="J916">
        <v>161.05000000000001</v>
      </c>
      <c r="K916" t="s">
        <v>16</v>
      </c>
      <c r="L916" t="s">
        <v>32</v>
      </c>
    </row>
    <row r="917" spans="1:12" x14ac:dyDescent="0.3">
      <c r="A917" t="s">
        <v>961</v>
      </c>
      <c r="B917" s="1">
        <v>45963</v>
      </c>
      <c r="C917" t="s">
        <v>19</v>
      </c>
      <c r="D917" t="s">
        <v>14</v>
      </c>
      <c r="E917" t="s">
        <v>25</v>
      </c>
      <c r="F917">
        <v>9</v>
      </c>
      <c r="G917">
        <v>3200</v>
      </c>
      <c r="H917">
        <v>25920</v>
      </c>
      <c r="I917">
        <v>0.1</v>
      </c>
      <c r="J917">
        <v>5904.76</v>
      </c>
      <c r="K917" t="s">
        <v>22</v>
      </c>
      <c r="L917" t="s">
        <v>23</v>
      </c>
    </row>
    <row r="918" spans="1:12" x14ac:dyDescent="0.3">
      <c r="A918" t="s">
        <v>962</v>
      </c>
      <c r="B918" s="1">
        <v>45914</v>
      </c>
      <c r="C918" t="s">
        <v>13</v>
      </c>
      <c r="D918" t="s">
        <v>30</v>
      </c>
      <c r="E918" t="s">
        <v>31</v>
      </c>
      <c r="F918">
        <v>3</v>
      </c>
      <c r="G918">
        <v>120</v>
      </c>
      <c r="H918">
        <v>288</v>
      </c>
      <c r="I918">
        <v>0.2</v>
      </c>
      <c r="J918">
        <v>73.569999999999993</v>
      </c>
      <c r="K918" t="s">
        <v>26</v>
      </c>
      <c r="L918" t="s">
        <v>17</v>
      </c>
    </row>
    <row r="919" spans="1:12" x14ac:dyDescent="0.3">
      <c r="A919" t="s">
        <v>963</v>
      </c>
      <c r="B919" s="1">
        <v>45939</v>
      </c>
      <c r="C919" t="s">
        <v>35</v>
      </c>
      <c r="D919" t="s">
        <v>30</v>
      </c>
      <c r="E919" t="s">
        <v>45</v>
      </c>
      <c r="F919">
        <v>10</v>
      </c>
      <c r="G919">
        <v>180</v>
      </c>
      <c r="H919">
        <v>1800</v>
      </c>
      <c r="I919">
        <v>0</v>
      </c>
      <c r="J919">
        <v>647.27</v>
      </c>
      <c r="K919" t="s">
        <v>16</v>
      </c>
      <c r="L919" t="s">
        <v>23</v>
      </c>
    </row>
    <row r="920" spans="1:12" x14ac:dyDescent="0.3">
      <c r="A920" t="s">
        <v>964</v>
      </c>
      <c r="B920" s="1">
        <v>45980</v>
      </c>
      <c r="C920" t="s">
        <v>35</v>
      </c>
      <c r="D920" t="s">
        <v>14</v>
      </c>
      <c r="E920" t="s">
        <v>15</v>
      </c>
      <c r="F920">
        <v>9</v>
      </c>
      <c r="G920">
        <v>1200</v>
      </c>
      <c r="H920">
        <v>9720</v>
      </c>
      <c r="I920">
        <v>0.1</v>
      </c>
      <c r="J920">
        <v>1725.06</v>
      </c>
      <c r="K920" t="s">
        <v>22</v>
      </c>
      <c r="L920" t="s">
        <v>32</v>
      </c>
    </row>
    <row r="921" spans="1:12" x14ac:dyDescent="0.3">
      <c r="A921" t="s">
        <v>965</v>
      </c>
      <c r="B921" s="1">
        <v>45679</v>
      </c>
      <c r="C921" t="s">
        <v>35</v>
      </c>
      <c r="D921" t="s">
        <v>20</v>
      </c>
      <c r="E921" t="s">
        <v>21</v>
      </c>
      <c r="F921">
        <v>7</v>
      </c>
      <c r="G921">
        <v>650</v>
      </c>
      <c r="H921">
        <v>3867.5</v>
      </c>
      <c r="I921">
        <v>0.15</v>
      </c>
      <c r="J921">
        <v>375.12</v>
      </c>
      <c r="K921" t="s">
        <v>16</v>
      </c>
      <c r="L921" t="s">
        <v>32</v>
      </c>
    </row>
    <row r="922" spans="1:12" x14ac:dyDescent="0.3">
      <c r="A922" t="s">
        <v>966</v>
      </c>
      <c r="B922" s="1">
        <v>45675</v>
      </c>
      <c r="C922" t="s">
        <v>56</v>
      </c>
      <c r="D922" t="s">
        <v>20</v>
      </c>
      <c r="E922" t="s">
        <v>84</v>
      </c>
      <c r="F922">
        <v>1</v>
      </c>
      <c r="G922">
        <v>3200</v>
      </c>
      <c r="H922">
        <v>2880</v>
      </c>
      <c r="I922">
        <v>0.1</v>
      </c>
      <c r="J922">
        <v>642.27</v>
      </c>
      <c r="K922" t="s">
        <v>22</v>
      </c>
      <c r="L922" t="s">
        <v>23</v>
      </c>
    </row>
    <row r="923" spans="1:12" x14ac:dyDescent="0.3">
      <c r="A923" t="s">
        <v>967</v>
      </c>
      <c r="B923" s="1">
        <v>45742</v>
      </c>
      <c r="C923" t="s">
        <v>35</v>
      </c>
      <c r="D923" t="s">
        <v>36</v>
      </c>
      <c r="E923" t="s">
        <v>54</v>
      </c>
      <c r="F923">
        <v>5</v>
      </c>
      <c r="G923">
        <v>7000</v>
      </c>
      <c r="H923">
        <v>33250</v>
      </c>
      <c r="I923">
        <v>0.05</v>
      </c>
      <c r="J923">
        <v>10791.3</v>
      </c>
      <c r="K923" t="s">
        <v>16</v>
      </c>
      <c r="L923" t="s">
        <v>17</v>
      </c>
    </row>
    <row r="924" spans="1:12" x14ac:dyDescent="0.3">
      <c r="A924" t="s">
        <v>968</v>
      </c>
      <c r="B924" s="1">
        <v>45752</v>
      </c>
      <c r="C924" t="s">
        <v>28</v>
      </c>
      <c r="D924" t="s">
        <v>14</v>
      </c>
      <c r="E924" t="s">
        <v>65</v>
      </c>
      <c r="F924">
        <v>1</v>
      </c>
      <c r="G924">
        <v>700</v>
      </c>
      <c r="H924">
        <v>700</v>
      </c>
      <c r="I924">
        <v>0</v>
      </c>
      <c r="J924">
        <v>233.28</v>
      </c>
      <c r="K924" t="s">
        <v>16</v>
      </c>
      <c r="L924" t="s">
        <v>17</v>
      </c>
    </row>
    <row r="925" spans="1:12" x14ac:dyDescent="0.3">
      <c r="A925" t="s">
        <v>969</v>
      </c>
      <c r="B925" s="1">
        <v>45748</v>
      </c>
      <c r="C925" t="s">
        <v>13</v>
      </c>
      <c r="D925" t="s">
        <v>36</v>
      </c>
      <c r="E925" t="s">
        <v>91</v>
      </c>
      <c r="F925">
        <v>1</v>
      </c>
      <c r="G925">
        <v>8500</v>
      </c>
      <c r="H925">
        <v>7650</v>
      </c>
      <c r="I925">
        <v>0.1</v>
      </c>
      <c r="J925">
        <v>2399.1</v>
      </c>
      <c r="K925" t="s">
        <v>22</v>
      </c>
      <c r="L925" t="s">
        <v>17</v>
      </c>
    </row>
    <row r="926" spans="1:12" x14ac:dyDescent="0.3">
      <c r="A926" t="s">
        <v>970</v>
      </c>
      <c r="B926" s="1">
        <v>45910</v>
      </c>
      <c r="C926" t="s">
        <v>56</v>
      </c>
      <c r="D926" t="s">
        <v>20</v>
      </c>
      <c r="E926" t="s">
        <v>84</v>
      </c>
      <c r="F926">
        <v>5</v>
      </c>
      <c r="G926">
        <v>3200</v>
      </c>
      <c r="H926">
        <v>12800</v>
      </c>
      <c r="I926">
        <v>0.2</v>
      </c>
      <c r="J926">
        <v>1591.78</v>
      </c>
      <c r="K926" t="s">
        <v>16</v>
      </c>
      <c r="L926" t="s">
        <v>32</v>
      </c>
    </row>
    <row r="927" spans="1:12" x14ac:dyDescent="0.3">
      <c r="A927" t="s">
        <v>971</v>
      </c>
      <c r="B927" s="1">
        <v>45949</v>
      </c>
      <c r="C927" t="s">
        <v>19</v>
      </c>
      <c r="D927" t="s">
        <v>20</v>
      </c>
      <c r="E927" t="s">
        <v>97</v>
      </c>
      <c r="F927">
        <v>10</v>
      </c>
      <c r="G927">
        <v>400</v>
      </c>
      <c r="H927">
        <v>3600</v>
      </c>
      <c r="I927">
        <v>0.1</v>
      </c>
      <c r="J927">
        <v>1115.3800000000001</v>
      </c>
      <c r="K927" t="s">
        <v>16</v>
      </c>
      <c r="L927" t="s">
        <v>32</v>
      </c>
    </row>
    <row r="928" spans="1:12" x14ac:dyDescent="0.3">
      <c r="A928" t="s">
        <v>972</v>
      </c>
      <c r="B928" s="1">
        <v>45842</v>
      </c>
      <c r="C928" t="s">
        <v>56</v>
      </c>
      <c r="D928" t="s">
        <v>14</v>
      </c>
      <c r="E928" t="s">
        <v>25</v>
      </c>
      <c r="F928">
        <v>1</v>
      </c>
      <c r="G928">
        <v>3200</v>
      </c>
      <c r="H928">
        <v>2880</v>
      </c>
      <c r="I928">
        <v>0.1</v>
      </c>
      <c r="J928">
        <v>864.6</v>
      </c>
      <c r="K928" t="s">
        <v>26</v>
      </c>
      <c r="L928" t="s">
        <v>32</v>
      </c>
    </row>
    <row r="929" spans="1:12" x14ac:dyDescent="0.3">
      <c r="A929" t="s">
        <v>973</v>
      </c>
      <c r="B929" s="1">
        <v>45698</v>
      </c>
      <c r="C929" t="s">
        <v>56</v>
      </c>
      <c r="D929" t="s">
        <v>20</v>
      </c>
      <c r="E929" t="s">
        <v>97</v>
      </c>
      <c r="F929">
        <v>9</v>
      </c>
      <c r="G929">
        <v>400</v>
      </c>
      <c r="H929">
        <v>3600</v>
      </c>
      <c r="I929">
        <v>0</v>
      </c>
      <c r="J929">
        <v>724.68</v>
      </c>
      <c r="K929" t="s">
        <v>22</v>
      </c>
      <c r="L929" t="s">
        <v>23</v>
      </c>
    </row>
    <row r="930" spans="1:12" x14ac:dyDescent="0.3">
      <c r="A930" t="s">
        <v>974</v>
      </c>
      <c r="B930" s="1">
        <v>45807</v>
      </c>
      <c r="C930" t="s">
        <v>35</v>
      </c>
      <c r="D930" t="s">
        <v>20</v>
      </c>
      <c r="E930" t="s">
        <v>21</v>
      </c>
      <c r="F930">
        <v>9</v>
      </c>
      <c r="G930">
        <v>650</v>
      </c>
      <c r="H930">
        <v>5265</v>
      </c>
      <c r="I930">
        <v>0.1</v>
      </c>
      <c r="J930">
        <v>1910.14</v>
      </c>
      <c r="K930" t="s">
        <v>26</v>
      </c>
      <c r="L930" t="s">
        <v>17</v>
      </c>
    </row>
    <row r="931" spans="1:12" x14ac:dyDescent="0.3">
      <c r="A931" t="s">
        <v>975</v>
      </c>
      <c r="B931" s="1">
        <v>45988</v>
      </c>
      <c r="C931" t="s">
        <v>28</v>
      </c>
      <c r="D931" t="s">
        <v>14</v>
      </c>
      <c r="E931" t="s">
        <v>43</v>
      </c>
      <c r="F931">
        <v>2</v>
      </c>
      <c r="G931">
        <v>65000</v>
      </c>
      <c r="H931">
        <v>117000</v>
      </c>
      <c r="I931">
        <v>0.1</v>
      </c>
      <c r="J931">
        <v>-12361.59</v>
      </c>
      <c r="K931" t="s">
        <v>22</v>
      </c>
      <c r="L931" t="s">
        <v>32</v>
      </c>
    </row>
    <row r="932" spans="1:12" x14ac:dyDescent="0.3">
      <c r="A932" t="s">
        <v>976</v>
      </c>
      <c r="B932" s="1">
        <v>45849</v>
      </c>
      <c r="C932" t="s">
        <v>56</v>
      </c>
      <c r="D932" t="s">
        <v>14</v>
      </c>
      <c r="E932" t="s">
        <v>15</v>
      </c>
      <c r="F932">
        <v>7</v>
      </c>
      <c r="G932">
        <v>1200</v>
      </c>
      <c r="H932">
        <v>8400</v>
      </c>
      <c r="I932">
        <v>0</v>
      </c>
      <c r="J932">
        <v>3341.76</v>
      </c>
      <c r="K932" t="s">
        <v>22</v>
      </c>
      <c r="L932" t="s">
        <v>32</v>
      </c>
    </row>
    <row r="933" spans="1:12" x14ac:dyDescent="0.3">
      <c r="A933" t="s">
        <v>977</v>
      </c>
      <c r="B933" s="1">
        <v>45782</v>
      </c>
      <c r="C933" t="s">
        <v>19</v>
      </c>
      <c r="D933" t="s">
        <v>14</v>
      </c>
      <c r="E933" t="s">
        <v>43</v>
      </c>
      <c r="F933">
        <v>9</v>
      </c>
      <c r="G933">
        <v>65000</v>
      </c>
      <c r="H933">
        <v>585000</v>
      </c>
      <c r="I933">
        <v>0</v>
      </c>
      <c r="J933">
        <v>111934.84</v>
      </c>
      <c r="K933" t="s">
        <v>16</v>
      </c>
      <c r="L933" t="s">
        <v>32</v>
      </c>
    </row>
    <row r="934" spans="1:12" x14ac:dyDescent="0.3">
      <c r="A934" t="s">
        <v>978</v>
      </c>
      <c r="B934" s="1">
        <v>45938</v>
      </c>
      <c r="C934" t="s">
        <v>28</v>
      </c>
      <c r="D934" t="s">
        <v>30</v>
      </c>
      <c r="E934" t="s">
        <v>47</v>
      </c>
      <c r="F934">
        <v>4</v>
      </c>
      <c r="G934">
        <v>450</v>
      </c>
      <c r="H934">
        <v>1710</v>
      </c>
      <c r="I934">
        <v>0.05</v>
      </c>
      <c r="J934">
        <v>415.65</v>
      </c>
      <c r="K934" t="s">
        <v>22</v>
      </c>
      <c r="L934" t="s">
        <v>23</v>
      </c>
    </row>
    <row r="935" spans="1:12" x14ac:dyDescent="0.3">
      <c r="A935" t="s">
        <v>979</v>
      </c>
      <c r="B935" s="1">
        <v>45762</v>
      </c>
      <c r="C935" t="s">
        <v>13</v>
      </c>
      <c r="D935" t="s">
        <v>14</v>
      </c>
      <c r="E935" t="s">
        <v>43</v>
      </c>
      <c r="F935">
        <v>7</v>
      </c>
      <c r="G935">
        <v>65000</v>
      </c>
      <c r="H935">
        <v>432250</v>
      </c>
      <c r="I935">
        <v>0.05</v>
      </c>
      <c r="J935">
        <v>159067.28</v>
      </c>
      <c r="K935" t="s">
        <v>26</v>
      </c>
      <c r="L935" t="s">
        <v>23</v>
      </c>
    </row>
    <row r="936" spans="1:12" x14ac:dyDescent="0.3">
      <c r="A936" t="s">
        <v>980</v>
      </c>
      <c r="B936" s="1">
        <v>45919</v>
      </c>
      <c r="C936" t="s">
        <v>35</v>
      </c>
      <c r="D936" t="s">
        <v>14</v>
      </c>
      <c r="E936" t="s">
        <v>105</v>
      </c>
      <c r="F936">
        <v>8</v>
      </c>
      <c r="G936">
        <v>14000</v>
      </c>
      <c r="H936">
        <v>100800</v>
      </c>
      <c r="I936">
        <v>0.1</v>
      </c>
      <c r="J936">
        <v>27182.09</v>
      </c>
      <c r="K936" t="s">
        <v>26</v>
      </c>
      <c r="L936" t="s">
        <v>32</v>
      </c>
    </row>
    <row r="937" spans="1:12" x14ac:dyDescent="0.3">
      <c r="A937" t="s">
        <v>981</v>
      </c>
      <c r="B937" s="1">
        <v>45938</v>
      </c>
      <c r="C937" t="s">
        <v>56</v>
      </c>
      <c r="D937" t="s">
        <v>36</v>
      </c>
      <c r="E937" t="s">
        <v>37</v>
      </c>
      <c r="F937">
        <v>10</v>
      </c>
      <c r="G937">
        <v>1800</v>
      </c>
      <c r="H937">
        <v>15300</v>
      </c>
      <c r="I937">
        <v>0.15</v>
      </c>
      <c r="J937">
        <v>1882.62</v>
      </c>
      <c r="K937" t="s">
        <v>22</v>
      </c>
      <c r="L937" t="s">
        <v>17</v>
      </c>
    </row>
    <row r="938" spans="1:12" x14ac:dyDescent="0.3">
      <c r="A938" t="s">
        <v>982</v>
      </c>
      <c r="B938" s="1">
        <v>45673</v>
      </c>
      <c r="C938" t="s">
        <v>19</v>
      </c>
      <c r="D938" t="s">
        <v>20</v>
      </c>
      <c r="E938" t="s">
        <v>39</v>
      </c>
      <c r="F938">
        <v>8</v>
      </c>
      <c r="G938">
        <v>2800</v>
      </c>
      <c r="H938">
        <v>20160</v>
      </c>
      <c r="I938">
        <v>0.1</v>
      </c>
      <c r="J938">
        <v>7437.83</v>
      </c>
      <c r="K938" t="s">
        <v>22</v>
      </c>
      <c r="L938" t="s">
        <v>23</v>
      </c>
    </row>
    <row r="939" spans="1:12" x14ac:dyDescent="0.3">
      <c r="A939" t="s">
        <v>983</v>
      </c>
      <c r="B939" s="1">
        <v>45749</v>
      </c>
      <c r="C939" t="s">
        <v>56</v>
      </c>
      <c r="D939" t="s">
        <v>14</v>
      </c>
      <c r="E939" t="s">
        <v>25</v>
      </c>
      <c r="F939">
        <v>8</v>
      </c>
      <c r="G939">
        <v>3200</v>
      </c>
      <c r="H939">
        <v>25600</v>
      </c>
      <c r="I939">
        <v>0</v>
      </c>
      <c r="J939">
        <v>6680.23</v>
      </c>
      <c r="K939" t="s">
        <v>16</v>
      </c>
      <c r="L939" t="s">
        <v>32</v>
      </c>
    </row>
    <row r="940" spans="1:12" x14ac:dyDescent="0.3">
      <c r="A940" t="s">
        <v>984</v>
      </c>
      <c r="B940" s="1">
        <v>45693</v>
      </c>
      <c r="C940" t="s">
        <v>13</v>
      </c>
      <c r="D940" t="s">
        <v>30</v>
      </c>
      <c r="E940" t="s">
        <v>47</v>
      </c>
      <c r="F940">
        <v>5</v>
      </c>
      <c r="G940">
        <v>450</v>
      </c>
      <c r="H940">
        <v>2250</v>
      </c>
      <c r="I940">
        <v>0</v>
      </c>
      <c r="J940">
        <v>845.61</v>
      </c>
      <c r="K940" t="s">
        <v>22</v>
      </c>
      <c r="L940" t="s">
        <v>32</v>
      </c>
    </row>
    <row r="941" spans="1:12" x14ac:dyDescent="0.3">
      <c r="A941" t="s">
        <v>985</v>
      </c>
      <c r="B941" s="1">
        <v>45833</v>
      </c>
      <c r="C941" t="s">
        <v>35</v>
      </c>
      <c r="D941" t="s">
        <v>20</v>
      </c>
      <c r="E941" t="s">
        <v>97</v>
      </c>
      <c r="F941">
        <v>2</v>
      </c>
      <c r="G941">
        <v>400</v>
      </c>
      <c r="H941">
        <v>760</v>
      </c>
      <c r="I941">
        <v>0.05</v>
      </c>
      <c r="J941">
        <v>319.8</v>
      </c>
      <c r="K941" t="s">
        <v>26</v>
      </c>
      <c r="L941" t="s">
        <v>17</v>
      </c>
    </row>
    <row r="942" spans="1:12" x14ac:dyDescent="0.3">
      <c r="A942" t="s">
        <v>986</v>
      </c>
      <c r="B942" s="1">
        <v>45811</v>
      </c>
      <c r="C942" t="s">
        <v>35</v>
      </c>
      <c r="D942" t="s">
        <v>14</v>
      </c>
      <c r="E942" t="s">
        <v>15</v>
      </c>
      <c r="F942">
        <v>3</v>
      </c>
      <c r="G942">
        <v>1200</v>
      </c>
      <c r="H942">
        <v>2880</v>
      </c>
      <c r="I942">
        <v>0.2</v>
      </c>
      <c r="J942">
        <v>622.91999999999996</v>
      </c>
      <c r="K942" t="s">
        <v>26</v>
      </c>
      <c r="L942" t="s">
        <v>17</v>
      </c>
    </row>
    <row r="943" spans="1:12" x14ac:dyDescent="0.3">
      <c r="A943" t="s">
        <v>987</v>
      </c>
      <c r="B943" s="1">
        <v>45970</v>
      </c>
      <c r="C943" t="s">
        <v>13</v>
      </c>
      <c r="D943" t="s">
        <v>36</v>
      </c>
      <c r="E943" t="s">
        <v>91</v>
      </c>
      <c r="F943">
        <v>6</v>
      </c>
      <c r="G943">
        <v>8500</v>
      </c>
      <c r="H943">
        <v>43350</v>
      </c>
      <c r="I943">
        <v>0.15</v>
      </c>
      <c r="J943">
        <v>15047.51</v>
      </c>
      <c r="K943" t="s">
        <v>26</v>
      </c>
      <c r="L943" t="s">
        <v>17</v>
      </c>
    </row>
    <row r="944" spans="1:12" x14ac:dyDescent="0.3">
      <c r="A944" t="s">
        <v>988</v>
      </c>
      <c r="B944" s="1">
        <v>45736</v>
      </c>
      <c r="C944" t="s">
        <v>28</v>
      </c>
      <c r="D944" t="s">
        <v>20</v>
      </c>
      <c r="E944" t="s">
        <v>97</v>
      </c>
      <c r="F944">
        <v>7</v>
      </c>
      <c r="G944">
        <v>400</v>
      </c>
      <c r="H944">
        <v>2240</v>
      </c>
      <c r="I944">
        <v>0.2</v>
      </c>
      <c r="J944">
        <v>44.48</v>
      </c>
      <c r="K944" t="s">
        <v>16</v>
      </c>
      <c r="L944" t="s">
        <v>23</v>
      </c>
    </row>
    <row r="945" spans="1:12" x14ac:dyDescent="0.3">
      <c r="A945" t="s">
        <v>989</v>
      </c>
      <c r="B945" s="1">
        <v>45785</v>
      </c>
      <c r="C945" t="s">
        <v>56</v>
      </c>
      <c r="D945" t="s">
        <v>36</v>
      </c>
      <c r="E945" t="s">
        <v>54</v>
      </c>
      <c r="F945">
        <v>2</v>
      </c>
      <c r="G945">
        <v>7000</v>
      </c>
      <c r="H945">
        <v>11200</v>
      </c>
      <c r="I945">
        <v>0.2</v>
      </c>
      <c r="J945">
        <v>1683.36</v>
      </c>
      <c r="K945" t="s">
        <v>16</v>
      </c>
      <c r="L945" t="s">
        <v>32</v>
      </c>
    </row>
    <row r="946" spans="1:12" x14ac:dyDescent="0.3">
      <c r="A946" t="s">
        <v>990</v>
      </c>
      <c r="B946" s="1">
        <v>45975</v>
      </c>
      <c r="C946" t="s">
        <v>56</v>
      </c>
      <c r="D946" t="s">
        <v>20</v>
      </c>
      <c r="E946" t="s">
        <v>21</v>
      </c>
      <c r="F946">
        <v>10</v>
      </c>
      <c r="G946">
        <v>650</v>
      </c>
      <c r="H946">
        <v>6500</v>
      </c>
      <c r="I946">
        <v>0</v>
      </c>
      <c r="J946">
        <v>0</v>
      </c>
      <c r="K946" t="s">
        <v>22</v>
      </c>
      <c r="L946" t="s">
        <v>32</v>
      </c>
    </row>
    <row r="947" spans="1:12" x14ac:dyDescent="0.3">
      <c r="A947" t="s">
        <v>991</v>
      </c>
      <c r="B947" s="1">
        <v>45747</v>
      </c>
      <c r="C947" t="s">
        <v>13</v>
      </c>
      <c r="D947" t="s">
        <v>30</v>
      </c>
      <c r="E947" t="s">
        <v>47</v>
      </c>
      <c r="F947">
        <v>5</v>
      </c>
      <c r="G947">
        <v>450</v>
      </c>
      <c r="H947">
        <v>1912.5</v>
      </c>
      <c r="I947">
        <v>0.15</v>
      </c>
      <c r="J947">
        <v>362.02</v>
      </c>
      <c r="K947" t="s">
        <v>22</v>
      </c>
      <c r="L947" t="s">
        <v>32</v>
      </c>
    </row>
    <row r="948" spans="1:12" x14ac:dyDescent="0.3">
      <c r="A948" t="s">
        <v>992</v>
      </c>
      <c r="B948" s="1">
        <v>45905</v>
      </c>
      <c r="C948" t="s">
        <v>56</v>
      </c>
      <c r="D948" t="s">
        <v>20</v>
      </c>
      <c r="E948" t="s">
        <v>84</v>
      </c>
      <c r="F948">
        <v>8</v>
      </c>
      <c r="G948">
        <v>3200</v>
      </c>
      <c r="H948">
        <v>20480</v>
      </c>
      <c r="I948">
        <v>0.2</v>
      </c>
      <c r="J948">
        <v>1837.24</v>
      </c>
      <c r="K948" t="s">
        <v>26</v>
      </c>
      <c r="L948" t="s">
        <v>23</v>
      </c>
    </row>
    <row r="949" spans="1:12" x14ac:dyDescent="0.3">
      <c r="A949" t="s">
        <v>993</v>
      </c>
      <c r="B949" s="1">
        <v>45732</v>
      </c>
      <c r="C949" t="s">
        <v>28</v>
      </c>
      <c r="D949" t="s">
        <v>36</v>
      </c>
      <c r="E949" t="s">
        <v>37</v>
      </c>
      <c r="F949">
        <v>1</v>
      </c>
      <c r="G949">
        <v>12000</v>
      </c>
      <c r="H949">
        <v>10800</v>
      </c>
      <c r="I949">
        <v>0.1</v>
      </c>
      <c r="J949">
        <v>3217.17</v>
      </c>
      <c r="K949" t="s">
        <v>22</v>
      </c>
      <c r="L949" t="s">
        <v>23</v>
      </c>
    </row>
    <row r="950" spans="1:12" x14ac:dyDescent="0.3">
      <c r="A950" t="s">
        <v>994</v>
      </c>
      <c r="B950" s="1">
        <v>45962</v>
      </c>
      <c r="C950" t="s">
        <v>13</v>
      </c>
      <c r="D950" t="s">
        <v>14</v>
      </c>
      <c r="E950" t="s">
        <v>105</v>
      </c>
      <c r="F950">
        <v>2</v>
      </c>
      <c r="G950">
        <v>14000</v>
      </c>
      <c r="H950">
        <v>23800</v>
      </c>
      <c r="I950">
        <v>0.15</v>
      </c>
      <c r="J950">
        <v>957.26</v>
      </c>
      <c r="K950" t="s">
        <v>26</v>
      </c>
      <c r="L950" t="s">
        <v>23</v>
      </c>
    </row>
    <row r="951" spans="1:12" x14ac:dyDescent="0.3">
      <c r="A951" t="s">
        <v>995</v>
      </c>
      <c r="B951" s="1">
        <v>45966</v>
      </c>
      <c r="C951" t="s">
        <v>35</v>
      </c>
      <c r="D951" t="s">
        <v>14</v>
      </c>
      <c r="E951" t="s">
        <v>65</v>
      </c>
      <c r="F951">
        <v>10</v>
      </c>
      <c r="G951">
        <v>700</v>
      </c>
      <c r="H951">
        <v>5600</v>
      </c>
      <c r="I951">
        <v>0.2</v>
      </c>
      <c r="J951">
        <v>1272.79</v>
      </c>
      <c r="K951" t="s">
        <v>26</v>
      </c>
      <c r="L951" t="s">
        <v>17</v>
      </c>
    </row>
    <row r="952" spans="1:12" x14ac:dyDescent="0.3">
      <c r="A952" t="s">
        <v>996</v>
      </c>
      <c r="B952" s="1">
        <v>45726</v>
      </c>
      <c r="C952" t="s">
        <v>28</v>
      </c>
      <c r="D952" t="s">
        <v>36</v>
      </c>
      <c r="E952" t="s">
        <v>37</v>
      </c>
      <c r="F952">
        <v>2</v>
      </c>
      <c r="G952">
        <v>1800</v>
      </c>
      <c r="H952">
        <v>3600</v>
      </c>
      <c r="I952">
        <v>0</v>
      </c>
      <c r="J952">
        <v>1231.8800000000001</v>
      </c>
      <c r="K952" t="s">
        <v>22</v>
      </c>
      <c r="L952" t="s">
        <v>32</v>
      </c>
    </row>
    <row r="953" spans="1:12" x14ac:dyDescent="0.3">
      <c r="A953" t="s">
        <v>997</v>
      </c>
      <c r="B953" s="1">
        <v>45782</v>
      </c>
      <c r="C953" t="s">
        <v>13</v>
      </c>
      <c r="D953" t="s">
        <v>36</v>
      </c>
      <c r="E953" t="s">
        <v>54</v>
      </c>
      <c r="F953">
        <v>6</v>
      </c>
      <c r="G953">
        <v>7000</v>
      </c>
      <c r="H953">
        <v>42000</v>
      </c>
      <c r="I953">
        <v>0</v>
      </c>
      <c r="J953">
        <v>0</v>
      </c>
      <c r="K953" t="s">
        <v>16</v>
      </c>
      <c r="L953" t="s">
        <v>32</v>
      </c>
    </row>
    <row r="954" spans="1:12" x14ac:dyDescent="0.3">
      <c r="A954" t="s">
        <v>998</v>
      </c>
      <c r="B954" s="1">
        <v>45723</v>
      </c>
      <c r="C954" t="s">
        <v>35</v>
      </c>
      <c r="D954" t="s">
        <v>20</v>
      </c>
      <c r="E954" t="s">
        <v>39</v>
      </c>
      <c r="F954">
        <v>2</v>
      </c>
      <c r="G954">
        <v>2800</v>
      </c>
      <c r="H954">
        <v>5040</v>
      </c>
      <c r="I954">
        <v>0.1</v>
      </c>
      <c r="J954">
        <v>1193.3900000000001</v>
      </c>
      <c r="K954" t="s">
        <v>16</v>
      </c>
      <c r="L954" t="s">
        <v>17</v>
      </c>
    </row>
    <row r="955" spans="1:12" x14ac:dyDescent="0.3">
      <c r="A955" t="s">
        <v>999</v>
      </c>
      <c r="B955" s="1">
        <v>45823</v>
      </c>
      <c r="C955" t="s">
        <v>19</v>
      </c>
      <c r="D955" t="s">
        <v>14</v>
      </c>
      <c r="E955" t="s">
        <v>25</v>
      </c>
      <c r="F955">
        <v>2</v>
      </c>
      <c r="G955">
        <v>3200</v>
      </c>
      <c r="H955">
        <v>5760</v>
      </c>
      <c r="I955">
        <v>0.1</v>
      </c>
      <c r="J955">
        <v>1984.33</v>
      </c>
      <c r="K955" t="s">
        <v>22</v>
      </c>
      <c r="L955" t="s">
        <v>23</v>
      </c>
    </row>
    <row r="956" spans="1:12" x14ac:dyDescent="0.3">
      <c r="A956" t="s">
        <v>1000</v>
      </c>
      <c r="B956" s="1">
        <v>45781</v>
      </c>
      <c r="C956" t="s">
        <v>28</v>
      </c>
      <c r="D956" t="s">
        <v>36</v>
      </c>
      <c r="E956" t="s">
        <v>37</v>
      </c>
      <c r="F956">
        <v>7</v>
      </c>
      <c r="G956">
        <v>1800</v>
      </c>
      <c r="H956">
        <v>10710</v>
      </c>
      <c r="I956">
        <v>0.15</v>
      </c>
      <c r="J956">
        <v>3023.39</v>
      </c>
      <c r="K956" t="s">
        <v>16</v>
      </c>
      <c r="L956" t="s">
        <v>23</v>
      </c>
    </row>
    <row r="957" spans="1:12" x14ac:dyDescent="0.3">
      <c r="A957" t="s">
        <v>1001</v>
      </c>
      <c r="B957" s="1">
        <v>45810</v>
      </c>
      <c r="C957" t="s">
        <v>19</v>
      </c>
      <c r="D957" t="s">
        <v>30</v>
      </c>
      <c r="E957" t="s">
        <v>45</v>
      </c>
      <c r="F957">
        <v>2</v>
      </c>
      <c r="G957">
        <v>180</v>
      </c>
      <c r="H957">
        <v>306</v>
      </c>
      <c r="I957">
        <v>0.15</v>
      </c>
      <c r="J957">
        <v>15.36</v>
      </c>
      <c r="K957" t="s">
        <v>22</v>
      </c>
      <c r="L957" t="s">
        <v>32</v>
      </c>
    </row>
    <row r="958" spans="1:12" x14ac:dyDescent="0.3">
      <c r="A958" t="s">
        <v>1002</v>
      </c>
      <c r="B958" s="1">
        <v>45762</v>
      </c>
      <c r="C958" t="s">
        <v>35</v>
      </c>
      <c r="D958" t="s">
        <v>20</v>
      </c>
      <c r="E958" t="s">
        <v>21</v>
      </c>
      <c r="F958">
        <v>8</v>
      </c>
      <c r="G958">
        <v>650</v>
      </c>
      <c r="H958">
        <v>4680</v>
      </c>
      <c r="I958">
        <v>0.1</v>
      </c>
      <c r="J958">
        <v>1548.09</v>
      </c>
      <c r="K958" t="s">
        <v>22</v>
      </c>
      <c r="L958" t="s">
        <v>23</v>
      </c>
    </row>
    <row r="959" spans="1:12" x14ac:dyDescent="0.3">
      <c r="A959" t="s">
        <v>1003</v>
      </c>
      <c r="B959" s="1">
        <v>45795</v>
      </c>
      <c r="C959" t="s">
        <v>56</v>
      </c>
      <c r="D959" t="s">
        <v>20</v>
      </c>
      <c r="E959" t="s">
        <v>84</v>
      </c>
      <c r="F959">
        <v>6</v>
      </c>
      <c r="G959">
        <v>3200</v>
      </c>
      <c r="H959">
        <v>16320</v>
      </c>
      <c r="I959">
        <v>0.15</v>
      </c>
      <c r="J959">
        <v>1546.67</v>
      </c>
      <c r="K959" t="s">
        <v>16</v>
      </c>
      <c r="L959" t="s">
        <v>32</v>
      </c>
    </row>
    <row r="960" spans="1:12" x14ac:dyDescent="0.3">
      <c r="A960" t="s">
        <v>1004</v>
      </c>
      <c r="B960" s="1">
        <v>45940</v>
      </c>
      <c r="C960" t="s">
        <v>19</v>
      </c>
      <c r="D960" t="s">
        <v>36</v>
      </c>
      <c r="E960" t="s">
        <v>54</v>
      </c>
      <c r="F960">
        <v>5</v>
      </c>
      <c r="G960">
        <v>7000</v>
      </c>
      <c r="H960">
        <v>35000</v>
      </c>
      <c r="I960">
        <v>0</v>
      </c>
      <c r="J960">
        <v>14544.68</v>
      </c>
      <c r="K960" t="s">
        <v>16</v>
      </c>
      <c r="L960" t="s">
        <v>32</v>
      </c>
    </row>
    <row r="961" spans="1:12" x14ac:dyDescent="0.3">
      <c r="A961" t="s">
        <v>1005</v>
      </c>
      <c r="B961" s="1">
        <v>45695</v>
      </c>
      <c r="C961" t="s">
        <v>35</v>
      </c>
      <c r="D961" t="s">
        <v>30</v>
      </c>
      <c r="E961" t="s">
        <v>82</v>
      </c>
      <c r="F961">
        <v>8</v>
      </c>
      <c r="G961">
        <v>250</v>
      </c>
      <c r="H961">
        <v>1800</v>
      </c>
      <c r="I961">
        <v>0.1</v>
      </c>
      <c r="J961">
        <v>602.21</v>
      </c>
      <c r="K961" t="s">
        <v>22</v>
      </c>
      <c r="L961" t="s">
        <v>23</v>
      </c>
    </row>
    <row r="962" spans="1:12" x14ac:dyDescent="0.3">
      <c r="A962" t="s">
        <v>1006</v>
      </c>
      <c r="B962" s="1">
        <v>45847</v>
      </c>
      <c r="C962" t="s">
        <v>19</v>
      </c>
      <c r="D962" t="s">
        <v>30</v>
      </c>
      <c r="E962" t="s">
        <v>41</v>
      </c>
      <c r="F962">
        <v>9</v>
      </c>
      <c r="G962">
        <v>600</v>
      </c>
      <c r="H962">
        <v>5400</v>
      </c>
      <c r="I962">
        <v>0</v>
      </c>
      <c r="J962">
        <v>1379</v>
      </c>
      <c r="K962" t="s">
        <v>26</v>
      </c>
      <c r="L962" t="s">
        <v>17</v>
      </c>
    </row>
    <row r="963" spans="1:12" x14ac:dyDescent="0.3">
      <c r="A963" t="s">
        <v>1007</v>
      </c>
      <c r="B963" s="1">
        <v>45925</v>
      </c>
      <c r="C963" t="s">
        <v>56</v>
      </c>
      <c r="D963" t="s">
        <v>30</v>
      </c>
      <c r="E963" t="s">
        <v>31</v>
      </c>
      <c r="F963">
        <v>3</v>
      </c>
      <c r="G963">
        <v>120</v>
      </c>
      <c r="H963">
        <v>360</v>
      </c>
      <c r="I963">
        <v>0</v>
      </c>
      <c r="J963">
        <v>154.07</v>
      </c>
      <c r="K963" t="s">
        <v>22</v>
      </c>
      <c r="L963" t="s">
        <v>17</v>
      </c>
    </row>
    <row r="964" spans="1:12" x14ac:dyDescent="0.3">
      <c r="A964" t="s">
        <v>1008</v>
      </c>
      <c r="B964" s="1">
        <v>45935</v>
      </c>
      <c r="C964" t="s">
        <v>28</v>
      </c>
      <c r="D964" t="s">
        <v>30</v>
      </c>
      <c r="E964" t="s">
        <v>82</v>
      </c>
      <c r="F964">
        <v>6</v>
      </c>
      <c r="G964">
        <v>250</v>
      </c>
      <c r="H964">
        <v>1200</v>
      </c>
      <c r="I964">
        <v>0.2</v>
      </c>
      <c r="J964">
        <v>112.91</v>
      </c>
      <c r="K964" t="s">
        <v>26</v>
      </c>
      <c r="L964" t="s">
        <v>17</v>
      </c>
    </row>
    <row r="965" spans="1:12" x14ac:dyDescent="0.3">
      <c r="A965" t="s">
        <v>1009</v>
      </c>
      <c r="B965" s="1">
        <v>45676</v>
      </c>
      <c r="C965" t="s">
        <v>28</v>
      </c>
      <c r="D965" t="s">
        <v>36</v>
      </c>
      <c r="E965" t="s">
        <v>37</v>
      </c>
      <c r="F965">
        <v>10</v>
      </c>
      <c r="G965">
        <v>12000</v>
      </c>
      <c r="H965">
        <v>108000</v>
      </c>
      <c r="I965">
        <v>0.1</v>
      </c>
      <c r="J965">
        <v>-16136.11</v>
      </c>
      <c r="K965" t="s">
        <v>22</v>
      </c>
      <c r="L965" t="s">
        <v>23</v>
      </c>
    </row>
    <row r="966" spans="1:12" x14ac:dyDescent="0.3">
      <c r="A966" t="s">
        <v>1010</v>
      </c>
      <c r="B966" s="1">
        <v>45781</v>
      </c>
      <c r="C966" t="s">
        <v>56</v>
      </c>
      <c r="D966" t="s">
        <v>14</v>
      </c>
      <c r="E966" t="s">
        <v>43</v>
      </c>
      <c r="F966">
        <v>4</v>
      </c>
      <c r="G966">
        <v>65000</v>
      </c>
      <c r="H966">
        <v>247000</v>
      </c>
      <c r="I966">
        <v>0.05</v>
      </c>
      <c r="J966">
        <v>45239.08</v>
      </c>
      <c r="K966" t="s">
        <v>16</v>
      </c>
      <c r="L966" t="s">
        <v>23</v>
      </c>
    </row>
    <row r="967" spans="1:12" x14ac:dyDescent="0.3">
      <c r="A967" t="s">
        <v>1011</v>
      </c>
      <c r="B967" s="1">
        <v>45781</v>
      </c>
      <c r="C967" t="s">
        <v>35</v>
      </c>
      <c r="D967" t="s">
        <v>14</v>
      </c>
      <c r="E967" t="s">
        <v>15</v>
      </c>
      <c r="F967">
        <v>4</v>
      </c>
      <c r="G967">
        <v>1200</v>
      </c>
      <c r="H967">
        <v>4320</v>
      </c>
      <c r="I967">
        <v>0.1</v>
      </c>
      <c r="J967">
        <v>448.4</v>
      </c>
      <c r="K967" t="s">
        <v>26</v>
      </c>
      <c r="L967" t="s">
        <v>32</v>
      </c>
    </row>
    <row r="968" spans="1:12" x14ac:dyDescent="0.3">
      <c r="A968" t="s">
        <v>1012</v>
      </c>
      <c r="B968" s="1">
        <v>45857</v>
      </c>
      <c r="C968" t="s">
        <v>13</v>
      </c>
      <c r="D968" t="s">
        <v>30</v>
      </c>
      <c r="E968" t="s">
        <v>82</v>
      </c>
      <c r="F968">
        <v>9</v>
      </c>
      <c r="G968">
        <v>250</v>
      </c>
      <c r="H968">
        <v>2250</v>
      </c>
      <c r="I968">
        <v>0</v>
      </c>
      <c r="J968">
        <v>917.17</v>
      </c>
      <c r="K968" t="s">
        <v>22</v>
      </c>
      <c r="L968" t="s">
        <v>17</v>
      </c>
    </row>
    <row r="969" spans="1:12" x14ac:dyDescent="0.3">
      <c r="A969" t="s">
        <v>1013</v>
      </c>
      <c r="B969" s="1">
        <v>45999</v>
      </c>
      <c r="C969" t="s">
        <v>19</v>
      </c>
      <c r="D969" t="s">
        <v>20</v>
      </c>
      <c r="E969" t="s">
        <v>97</v>
      </c>
      <c r="F969">
        <v>1</v>
      </c>
      <c r="G969">
        <v>400</v>
      </c>
      <c r="H969">
        <v>400</v>
      </c>
      <c r="I969">
        <v>0</v>
      </c>
      <c r="J969">
        <v>107.34</v>
      </c>
      <c r="K969" t="s">
        <v>22</v>
      </c>
      <c r="L969" t="s">
        <v>32</v>
      </c>
    </row>
    <row r="970" spans="1:12" x14ac:dyDescent="0.3">
      <c r="A970" t="s">
        <v>1014</v>
      </c>
      <c r="B970" s="1">
        <v>45714</v>
      </c>
      <c r="C970" t="s">
        <v>28</v>
      </c>
      <c r="D970" t="s">
        <v>20</v>
      </c>
      <c r="E970" t="s">
        <v>21</v>
      </c>
      <c r="F970">
        <v>1</v>
      </c>
      <c r="G970">
        <v>650</v>
      </c>
      <c r="H970">
        <v>585</v>
      </c>
      <c r="I970">
        <v>0.1</v>
      </c>
      <c r="J970">
        <v>-68.73</v>
      </c>
      <c r="K970" t="s">
        <v>26</v>
      </c>
      <c r="L970" t="s">
        <v>32</v>
      </c>
    </row>
    <row r="971" spans="1:12" x14ac:dyDescent="0.3">
      <c r="A971" t="s">
        <v>1015</v>
      </c>
      <c r="B971" s="1">
        <v>45935</v>
      </c>
      <c r="C971" t="s">
        <v>28</v>
      </c>
      <c r="D971" t="s">
        <v>30</v>
      </c>
      <c r="E971" t="s">
        <v>45</v>
      </c>
      <c r="F971">
        <v>3</v>
      </c>
      <c r="G971">
        <v>180</v>
      </c>
      <c r="H971">
        <v>486</v>
      </c>
      <c r="I971">
        <v>0.1</v>
      </c>
      <c r="J971">
        <v>71.650000000000006</v>
      </c>
      <c r="K971" t="s">
        <v>16</v>
      </c>
      <c r="L971" t="s">
        <v>23</v>
      </c>
    </row>
    <row r="972" spans="1:12" x14ac:dyDescent="0.3">
      <c r="A972" t="s">
        <v>1016</v>
      </c>
      <c r="B972" s="1">
        <v>45911</v>
      </c>
      <c r="C972" t="s">
        <v>28</v>
      </c>
      <c r="D972" t="s">
        <v>36</v>
      </c>
      <c r="E972" t="s">
        <v>37</v>
      </c>
      <c r="F972">
        <v>1</v>
      </c>
      <c r="G972">
        <v>12000</v>
      </c>
      <c r="H972">
        <v>9600</v>
      </c>
      <c r="I972">
        <v>0.2</v>
      </c>
      <c r="J972">
        <v>723.56</v>
      </c>
      <c r="K972" t="s">
        <v>26</v>
      </c>
      <c r="L972" t="s">
        <v>17</v>
      </c>
    </row>
    <row r="973" spans="1:12" x14ac:dyDescent="0.3">
      <c r="A973" t="s">
        <v>1017</v>
      </c>
      <c r="B973" s="1">
        <v>45739</v>
      </c>
      <c r="C973" t="s">
        <v>35</v>
      </c>
      <c r="D973" t="s">
        <v>36</v>
      </c>
      <c r="E973" t="s">
        <v>54</v>
      </c>
      <c r="F973">
        <v>1</v>
      </c>
      <c r="G973">
        <v>7000</v>
      </c>
      <c r="H973">
        <v>5950</v>
      </c>
      <c r="I973">
        <v>0.15</v>
      </c>
      <c r="J973">
        <v>449.28</v>
      </c>
      <c r="K973" t="s">
        <v>16</v>
      </c>
      <c r="L973" t="s">
        <v>23</v>
      </c>
    </row>
    <row r="974" spans="1:12" x14ac:dyDescent="0.3">
      <c r="A974" t="s">
        <v>1018</v>
      </c>
      <c r="B974" s="1">
        <v>45764</v>
      </c>
      <c r="C974" t="s">
        <v>13</v>
      </c>
      <c r="D974" t="s">
        <v>20</v>
      </c>
      <c r="E974" t="s">
        <v>21</v>
      </c>
      <c r="F974">
        <v>4</v>
      </c>
      <c r="G974">
        <v>650</v>
      </c>
      <c r="H974">
        <v>2210</v>
      </c>
      <c r="I974">
        <v>0.15</v>
      </c>
      <c r="J974">
        <v>507.45</v>
      </c>
      <c r="K974" t="s">
        <v>16</v>
      </c>
      <c r="L974" t="s">
        <v>32</v>
      </c>
    </row>
    <row r="975" spans="1:12" x14ac:dyDescent="0.3">
      <c r="A975" t="s">
        <v>1019</v>
      </c>
      <c r="B975" s="1">
        <v>45775</v>
      </c>
      <c r="C975" t="s">
        <v>35</v>
      </c>
      <c r="D975" t="s">
        <v>14</v>
      </c>
      <c r="E975" t="s">
        <v>15</v>
      </c>
      <c r="F975">
        <v>4</v>
      </c>
      <c r="G975">
        <v>1200</v>
      </c>
      <c r="H975">
        <v>4080</v>
      </c>
      <c r="I975">
        <v>0.15</v>
      </c>
      <c r="J975">
        <v>1245.27</v>
      </c>
      <c r="K975" t="s">
        <v>16</v>
      </c>
      <c r="L975" t="s">
        <v>23</v>
      </c>
    </row>
    <row r="976" spans="1:12" x14ac:dyDescent="0.3">
      <c r="A976" t="s">
        <v>1020</v>
      </c>
      <c r="B976" s="1">
        <v>45805</v>
      </c>
      <c r="C976" t="s">
        <v>19</v>
      </c>
      <c r="D976" t="s">
        <v>30</v>
      </c>
      <c r="E976" t="s">
        <v>82</v>
      </c>
      <c r="F976">
        <v>5</v>
      </c>
      <c r="G976">
        <v>250</v>
      </c>
      <c r="H976">
        <v>1125</v>
      </c>
      <c r="I976">
        <v>0.1</v>
      </c>
      <c r="J976">
        <v>375.43</v>
      </c>
      <c r="K976" t="s">
        <v>22</v>
      </c>
      <c r="L976" t="s">
        <v>32</v>
      </c>
    </row>
    <row r="977" spans="1:12" x14ac:dyDescent="0.3">
      <c r="A977" t="s">
        <v>1021</v>
      </c>
      <c r="B977" s="1">
        <v>45876</v>
      </c>
      <c r="C977" t="s">
        <v>35</v>
      </c>
      <c r="D977" t="s">
        <v>30</v>
      </c>
      <c r="E977" t="s">
        <v>82</v>
      </c>
      <c r="F977">
        <v>1</v>
      </c>
      <c r="G977">
        <v>250</v>
      </c>
      <c r="H977">
        <v>250</v>
      </c>
      <c r="I977">
        <v>0</v>
      </c>
      <c r="J977">
        <v>61.75</v>
      </c>
      <c r="K977" t="s">
        <v>22</v>
      </c>
      <c r="L977" t="s">
        <v>32</v>
      </c>
    </row>
    <row r="978" spans="1:12" x14ac:dyDescent="0.3">
      <c r="A978" t="s">
        <v>1022</v>
      </c>
      <c r="B978" s="1">
        <v>46010</v>
      </c>
      <c r="C978" t="s">
        <v>35</v>
      </c>
      <c r="D978" t="s">
        <v>14</v>
      </c>
      <c r="E978" t="s">
        <v>25</v>
      </c>
      <c r="F978">
        <v>7</v>
      </c>
      <c r="G978">
        <v>3200</v>
      </c>
      <c r="H978">
        <v>19040</v>
      </c>
      <c r="I978">
        <v>0.15</v>
      </c>
      <c r="J978">
        <v>2447.02</v>
      </c>
      <c r="K978" t="s">
        <v>16</v>
      </c>
      <c r="L978" t="s">
        <v>17</v>
      </c>
    </row>
    <row r="979" spans="1:12" x14ac:dyDescent="0.3">
      <c r="A979" t="s">
        <v>1023</v>
      </c>
      <c r="B979" s="1">
        <v>45734</v>
      </c>
      <c r="C979" t="s">
        <v>56</v>
      </c>
      <c r="D979" t="s">
        <v>14</v>
      </c>
      <c r="E979" t="s">
        <v>25</v>
      </c>
      <c r="F979">
        <v>1</v>
      </c>
      <c r="G979">
        <v>3200</v>
      </c>
      <c r="H979">
        <v>3040</v>
      </c>
      <c r="I979">
        <v>0.05</v>
      </c>
      <c r="J979">
        <v>980.21</v>
      </c>
      <c r="K979" t="s">
        <v>16</v>
      </c>
      <c r="L979" t="s">
        <v>32</v>
      </c>
    </row>
    <row r="980" spans="1:12" x14ac:dyDescent="0.3">
      <c r="A980" t="s">
        <v>1024</v>
      </c>
      <c r="B980" s="1">
        <v>45871</v>
      </c>
      <c r="C980" t="s">
        <v>19</v>
      </c>
      <c r="D980" t="s">
        <v>30</v>
      </c>
      <c r="E980" t="s">
        <v>31</v>
      </c>
      <c r="F980">
        <v>5</v>
      </c>
      <c r="G980">
        <v>120</v>
      </c>
      <c r="H980">
        <v>600</v>
      </c>
      <c r="I980">
        <v>0</v>
      </c>
      <c r="J980">
        <v>252.42</v>
      </c>
      <c r="K980" t="s">
        <v>26</v>
      </c>
      <c r="L980" t="s">
        <v>32</v>
      </c>
    </row>
    <row r="981" spans="1:12" x14ac:dyDescent="0.3">
      <c r="A981" t="s">
        <v>1025</v>
      </c>
      <c r="B981" s="1">
        <v>45966</v>
      </c>
      <c r="C981" t="s">
        <v>35</v>
      </c>
      <c r="D981" t="s">
        <v>30</v>
      </c>
      <c r="E981" t="s">
        <v>47</v>
      </c>
      <c r="F981">
        <v>8</v>
      </c>
      <c r="G981">
        <v>450</v>
      </c>
      <c r="H981">
        <v>2880</v>
      </c>
      <c r="I981">
        <v>0.2</v>
      </c>
      <c r="J981">
        <v>663.89</v>
      </c>
      <c r="K981" t="s">
        <v>22</v>
      </c>
      <c r="L981" t="s">
        <v>23</v>
      </c>
    </row>
    <row r="982" spans="1:12" x14ac:dyDescent="0.3">
      <c r="A982" t="s">
        <v>1026</v>
      </c>
      <c r="B982" s="1">
        <v>45846</v>
      </c>
      <c r="C982" t="s">
        <v>19</v>
      </c>
      <c r="D982" t="s">
        <v>36</v>
      </c>
      <c r="E982" t="s">
        <v>37</v>
      </c>
      <c r="F982">
        <v>10</v>
      </c>
      <c r="G982">
        <v>1800</v>
      </c>
      <c r="H982">
        <v>15300</v>
      </c>
      <c r="I982">
        <v>0.15</v>
      </c>
      <c r="J982">
        <v>3409.39</v>
      </c>
      <c r="K982" t="s">
        <v>16</v>
      </c>
      <c r="L982" t="s">
        <v>32</v>
      </c>
    </row>
    <row r="983" spans="1:12" x14ac:dyDescent="0.3">
      <c r="A983" t="s">
        <v>1027</v>
      </c>
      <c r="B983" s="1">
        <v>45697</v>
      </c>
      <c r="C983" t="s">
        <v>35</v>
      </c>
      <c r="D983" t="s">
        <v>14</v>
      </c>
      <c r="E983" t="s">
        <v>43</v>
      </c>
      <c r="F983">
        <v>2</v>
      </c>
      <c r="G983">
        <v>65000</v>
      </c>
      <c r="H983">
        <v>123500</v>
      </c>
      <c r="I983">
        <v>0.05</v>
      </c>
      <c r="J983">
        <v>41401.279999999999</v>
      </c>
      <c r="K983" t="s">
        <v>26</v>
      </c>
      <c r="L983" t="s">
        <v>17</v>
      </c>
    </row>
    <row r="984" spans="1:12" x14ac:dyDescent="0.3">
      <c r="A984" t="s">
        <v>1028</v>
      </c>
      <c r="B984" s="1">
        <v>45863</v>
      </c>
      <c r="C984" t="s">
        <v>13</v>
      </c>
      <c r="D984" t="s">
        <v>36</v>
      </c>
      <c r="E984" t="s">
        <v>54</v>
      </c>
      <c r="F984">
        <v>2</v>
      </c>
      <c r="G984">
        <v>7000</v>
      </c>
      <c r="H984">
        <v>13300</v>
      </c>
      <c r="I984">
        <v>0.05</v>
      </c>
      <c r="J984">
        <v>5430.33</v>
      </c>
      <c r="K984" t="s">
        <v>26</v>
      </c>
      <c r="L984" t="s">
        <v>23</v>
      </c>
    </row>
    <row r="985" spans="1:12" x14ac:dyDescent="0.3">
      <c r="A985" t="s">
        <v>1029</v>
      </c>
      <c r="B985" s="1">
        <v>45989</v>
      </c>
      <c r="C985" t="s">
        <v>35</v>
      </c>
      <c r="D985" t="s">
        <v>36</v>
      </c>
      <c r="E985" t="s">
        <v>37</v>
      </c>
      <c r="F985">
        <v>1</v>
      </c>
      <c r="G985">
        <v>1800</v>
      </c>
      <c r="H985">
        <v>1620</v>
      </c>
      <c r="I985">
        <v>0.1</v>
      </c>
      <c r="J985">
        <v>479.27</v>
      </c>
      <c r="K985" t="s">
        <v>16</v>
      </c>
      <c r="L985" t="s">
        <v>32</v>
      </c>
    </row>
    <row r="986" spans="1:12" x14ac:dyDescent="0.3">
      <c r="A986" t="s">
        <v>1030</v>
      </c>
      <c r="B986" s="1">
        <v>45748</v>
      </c>
      <c r="C986" t="s">
        <v>13</v>
      </c>
      <c r="D986" t="s">
        <v>36</v>
      </c>
      <c r="E986" t="s">
        <v>54</v>
      </c>
      <c r="F986">
        <v>7</v>
      </c>
      <c r="G986">
        <v>7000</v>
      </c>
      <c r="H986">
        <v>49000</v>
      </c>
      <c r="I986">
        <v>0</v>
      </c>
      <c r="J986">
        <v>13051.96</v>
      </c>
      <c r="K986" t="s">
        <v>26</v>
      </c>
      <c r="L986" t="s">
        <v>32</v>
      </c>
    </row>
    <row r="987" spans="1:12" x14ac:dyDescent="0.3">
      <c r="A987" t="s">
        <v>1031</v>
      </c>
      <c r="B987" s="1">
        <v>45679</v>
      </c>
      <c r="C987" t="s">
        <v>28</v>
      </c>
      <c r="D987" t="s">
        <v>14</v>
      </c>
      <c r="E987" t="s">
        <v>15</v>
      </c>
      <c r="F987">
        <v>1</v>
      </c>
      <c r="G987">
        <v>1200</v>
      </c>
      <c r="H987">
        <v>1200</v>
      </c>
      <c r="I987">
        <v>0</v>
      </c>
      <c r="J987">
        <v>351.87</v>
      </c>
      <c r="K987" t="s">
        <v>16</v>
      </c>
      <c r="L987" t="s">
        <v>32</v>
      </c>
    </row>
    <row r="988" spans="1:12" x14ac:dyDescent="0.3">
      <c r="A988" t="s">
        <v>1032</v>
      </c>
      <c r="B988" s="1">
        <v>46005</v>
      </c>
      <c r="C988" t="s">
        <v>28</v>
      </c>
      <c r="D988" t="s">
        <v>30</v>
      </c>
      <c r="E988" t="s">
        <v>31</v>
      </c>
      <c r="F988">
        <v>6</v>
      </c>
      <c r="G988">
        <v>120</v>
      </c>
      <c r="H988">
        <v>612</v>
      </c>
      <c r="I988">
        <v>0.15</v>
      </c>
      <c r="J988">
        <v>87.75</v>
      </c>
      <c r="K988" t="s">
        <v>26</v>
      </c>
      <c r="L988" t="s">
        <v>32</v>
      </c>
    </row>
    <row r="989" spans="1:12" x14ac:dyDescent="0.3">
      <c r="A989" t="s">
        <v>1033</v>
      </c>
      <c r="B989" s="1">
        <v>45786</v>
      </c>
      <c r="C989" t="s">
        <v>56</v>
      </c>
      <c r="D989" t="s">
        <v>36</v>
      </c>
      <c r="E989" t="s">
        <v>91</v>
      </c>
      <c r="F989">
        <v>7</v>
      </c>
      <c r="G989">
        <v>8500</v>
      </c>
      <c r="H989">
        <v>59500</v>
      </c>
      <c r="I989">
        <v>0</v>
      </c>
      <c r="J989">
        <v>16846.98</v>
      </c>
      <c r="K989" t="s">
        <v>26</v>
      </c>
      <c r="L989" t="s">
        <v>17</v>
      </c>
    </row>
    <row r="990" spans="1:12" x14ac:dyDescent="0.3">
      <c r="A990" t="s">
        <v>1034</v>
      </c>
      <c r="B990" s="1">
        <v>45940</v>
      </c>
      <c r="C990" t="s">
        <v>28</v>
      </c>
      <c r="D990" t="s">
        <v>20</v>
      </c>
      <c r="E990" t="s">
        <v>84</v>
      </c>
      <c r="F990">
        <v>2</v>
      </c>
      <c r="G990">
        <v>3200</v>
      </c>
      <c r="H990">
        <v>6400</v>
      </c>
      <c r="I990">
        <v>0</v>
      </c>
      <c r="J990">
        <v>-887.42</v>
      </c>
      <c r="K990" t="s">
        <v>16</v>
      </c>
      <c r="L990" t="s">
        <v>32</v>
      </c>
    </row>
    <row r="991" spans="1:12" x14ac:dyDescent="0.3">
      <c r="A991" t="s">
        <v>1035</v>
      </c>
      <c r="B991" s="1">
        <v>45711</v>
      </c>
      <c r="C991" t="s">
        <v>28</v>
      </c>
      <c r="D991" t="s">
        <v>30</v>
      </c>
      <c r="E991" t="s">
        <v>47</v>
      </c>
      <c r="F991">
        <v>3</v>
      </c>
      <c r="G991">
        <v>450</v>
      </c>
      <c r="H991">
        <v>1350</v>
      </c>
      <c r="I991">
        <v>0</v>
      </c>
      <c r="J991">
        <v>-101.16</v>
      </c>
      <c r="K991" t="s">
        <v>22</v>
      </c>
      <c r="L991" t="s">
        <v>32</v>
      </c>
    </row>
    <row r="992" spans="1:12" x14ac:dyDescent="0.3">
      <c r="A992" t="s">
        <v>1036</v>
      </c>
      <c r="B992" s="1">
        <v>45745</v>
      </c>
      <c r="C992" t="s">
        <v>56</v>
      </c>
      <c r="D992" t="s">
        <v>30</v>
      </c>
      <c r="E992" t="s">
        <v>45</v>
      </c>
      <c r="F992">
        <v>5</v>
      </c>
      <c r="G992">
        <v>180</v>
      </c>
      <c r="H992">
        <v>900</v>
      </c>
      <c r="I992">
        <v>0</v>
      </c>
      <c r="J992">
        <v>369.17</v>
      </c>
      <c r="K992" t="s">
        <v>22</v>
      </c>
      <c r="L992" t="s">
        <v>23</v>
      </c>
    </row>
    <row r="993" spans="1:12" x14ac:dyDescent="0.3">
      <c r="A993" t="s">
        <v>1037</v>
      </c>
      <c r="B993" s="1">
        <v>45966</v>
      </c>
      <c r="C993" t="s">
        <v>35</v>
      </c>
      <c r="D993" t="s">
        <v>36</v>
      </c>
      <c r="E993" t="s">
        <v>37</v>
      </c>
      <c r="F993">
        <v>9</v>
      </c>
      <c r="G993">
        <v>12000</v>
      </c>
      <c r="H993">
        <v>102600</v>
      </c>
      <c r="I993">
        <v>0.05</v>
      </c>
      <c r="J993">
        <v>27470.19</v>
      </c>
      <c r="K993" t="s">
        <v>26</v>
      </c>
      <c r="L993" t="s">
        <v>23</v>
      </c>
    </row>
    <row r="994" spans="1:12" x14ac:dyDescent="0.3">
      <c r="A994" t="s">
        <v>1038</v>
      </c>
      <c r="B994" s="1">
        <v>45810</v>
      </c>
      <c r="C994" t="s">
        <v>13</v>
      </c>
      <c r="D994" t="s">
        <v>20</v>
      </c>
      <c r="E994" t="s">
        <v>21</v>
      </c>
      <c r="F994">
        <v>1</v>
      </c>
      <c r="G994">
        <v>650</v>
      </c>
      <c r="H994">
        <v>617.5</v>
      </c>
      <c r="I994">
        <v>0.05</v>
      </c>
      <c r="J994">
        <v>-60.2</v>
      </c>
      <c r="K994" t="s">
        <v>16</v>
      </c>
      <c r="L994" t="s">
        <v>32</v>
      </c>
    </row>
    <row r="995" spans="1:12" x14ac:dyDescent="0.3">
      <c r="A995" t="s">
        <v>1039</v>
      </c>
      <c r="B995" s="1">
        <v>45889</v>
      </c>
      <c r="C995" t="s">
        <v>56</v>
      </c>
      <c r="D995" t="s">
        <v>36</v>
      </c>
      <c r="E995" t="s">
        <v>37</v>
      </c>
      <c r="F995">
        <v>6</v>
      </c>
      <c r="G995">
        <v>1800</v>
      </c>
      <c r="H995">
        <v>9720</v>
      </c>
      <c r="I995">
        <v>0.1</v>
      </c>
      <c r="J995">
        <v>1474.96</v>
      </c>
      <c r="K995" t="s">
        <v>26</v>
      </c>
      <c r="L995" t="s">
        <v>32</v>
      </c>
    </row>
    <row r="996" spans="1:12" x14ac:dyDescent="0.3">
      <c r="A996" t="s">
        <v>1040</v>
      </c>
      <c r="B996" s="1">
        <v>45892</v>
      </c>
      <c r="C996" t="s">
        <v>35</v>
      </c>
      <c r="D996" t="s">
        <v>36</v>
      </c>
      <c r="E996" t="s">
        <v>91</v>
      </c>
      <c r="F996">
        <v>4</v>
      </c>
      <c r="G996">
        <v>8500</v>
      </c>
      <c r="H996">
        <v>28900</v>
      </c>
      <c r="I996">
        <v>0.15</v>
      </c>
      <c r="J996">
        <v>6066.65</v>
      </c>
      <c r="K996" t="s">
        <v>16</v>
      </c>
      <c r="L996"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sales trend</vt:lpstr>
      <vt:lpstr>Sales By Region</vt:lpstr>
      <vt:lpstr>Dashboard</vt:lpstr>
      <vt:lpstr>Sales by Category</vt:lpstr>
      <vt:lpstr>Profit by product</vt:lpstr>
      <vt:lpstr>KPI_Data</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Jahnavi</dc:creator>
  <cp:lastModifiedBy>jahnavi tanarapu</cp:lastModifiedBy>
  <dcterms:created xsi:type="dcterms:W3CDTF">2026-10-22T04:44:08Z</dcterms:created>
  <dcterms:modified xsi:type="dcterms:W3CDTF">2026-10-22T11:23:56Z</dcterms:modified>
</cp:coreProperties>
</file>